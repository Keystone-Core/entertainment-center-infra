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cegepdesherbrooke.sharepoint.com/sites/420-511-SH-Projetdimplantationderseaux-quipe_4/Documents partages/"/>
    </mc:Choice>
  </mc:AlternateContent>
  <xr:revisionPtr revIDLastSave="0" documentId="8_{9B662D01-7E5E-4B0B-BBB5-218E6DBB11AA}" xr6:coauthVersionLast="47" xr6:coauthVersionMax="47" xr10:uidLastSave="{00000000-0000-0000-0000-000000000000}"/>
  <bookViews>
    <workbookView xWindow="-108" yWindow="-108" windowWidth="23256" windowHeight="13896" tabRatio="500" firstSheet="1" activeTab="1" xr2:uid="{00000000-000D-0000-FFFF-FFFF00000000}"/>
  </bookViews>
  <sheets>
    <sheet name="Parametres" sheetId="1" r:id="rId1"/>
    <sheet name="OTP" sheetId="2" r:id="rId2"/>
    <sheet name="Budget" sheetId="3" r:id="rId3"/>
    <sheet name="Budget à jour" sheetId="6" r:id="rId4"/>
    <sheet name="AMDEC" sheetId="4" r:id="rId5"/>
    <sheet name="Planification" sheetId="5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2" l="1"/>
  <c r="H12" i="2"/>
  <c r="P12" i="5"/>
  <c r="P11" i="5"/>
  <c r="T12" i="5"/>
  <c r="U12" i="5"/>
  <c r="V12" i="5"/>
  <c r="R12" i="5"/>
  <c r="Q12" i="5"/>
  <c r="S12" i="5" s="1"/>
  <c r="U11" i="5"/>
  <c r="T11" i="5"/>
  <c r="R11" i="5"/>
  <c r="V11" i="5" s="1"/>
  <c r="Q11" i="5"/>
  <c r="S11" i="5" s="1"/>
  <c r="P4" i="5"/>
  <c r="Q4" i="5"/>
  <c r="R4" i="5"/>
  <c r="S4" i="5"/>
  <c r="T4" i="5"/>
  <c r="U4" i="5"/>
  <c r="P13" i="5"/>
  <c r="I11" i="2"/>
  <c r="I12" i="2"/>
  <c r="I13" i="2"/>
  <c r="H35" i="2"/>
  <c r="G12" i="2"/>
  <c r="G11" i="2"/>
  <c r="H13" i="2"/>
  <c r="G13" i="2"/>
  <c r="U39" i="5"/>
  <c r="T39" i="5"/>
  <c r="R39" i="5"/>
  <c r="Q39" i="5"/>
  <c r="S39" i="5" s="1"/>
  <c r="P39" i="5"/>
  <c r="U38" i="5"/>
  <c r="T38" i="5"/>
  <c r="R38" i="5"/>
  <c r="Q38" i="5"/>
  <c r="V38" i="5" s="1"/>
  <c r="P38" i="5"/>
  <c r="U37" i="5"/>
  <c r="T37" i="5"/>
  <c r="R37" i="5"/>
  <c r="Q37" i="5"/>
  <c r="P37" i="5"/>
  <c r="U36" i="5"/>
  <c r="T36" i="5"/>
  <c r="R36" i="5"/>
  <c r="Q36" i="5"/>
  <c r="S36" i="5" s="1"/>
  <c r="P36" i="5"/>
  <c r="U35" i="5"/>
  <c r="T35" i="5"/>
  <c r="R35" i="5"/>
  <c r="Q35" i="5"/>
  <c r="S35" i="5" s="1"/>
  <c r="P35" i="5"/>
  <c r="U34" i="5"/>
  <c r="T34" i="5"/>
  <c r="R34" i="5"/>
  <c r="Q34" i="5"/>
  <c r="S34" i="5" s="1"/>
  <c r="P34" i="5"/>
  <c r="U33" i="5"/>
  <c r="T33" i="5"/>
  <c r="R33" i="5"/>
  <c r="Q33" i="5"/>
  <c r="S33" i="5" s="1"/>
  <c r="P33" i="5"/>
  <c r="U32" i="5"/>
  <c r="T32" i="5"/>
  <c r="R32" i="5"/>
  <c r="Q32" i="5"/>
  <c r="S32" i="5" s="1"/>
  <c r="P32" i="5"/>
  <c r="V31" i="5"/>
  <c r="T31" i="5"/>
  <c r="R31" i="5"/>
  <c r="Q31" i="5"/>
  <c r="S31" i="5" s="1"/>
  <c r="P31" i="5"/>
  <c r="V30" i="5"/>
  <c r="T30" i="5"/>
  <c r="R30" i="5"/>
  <c r="Q30" i="5"/>
  <c r="S30" i="5" s="1"/>
  <c r="P30" i="5"/>
  <c r="V29" i="5"/>
  <c r="T29" i="5"/>
  <c r="R29" i="5"/>
  <c r="Q29" i="5"/>
  <c r="S29" i="5" s="1"/>
  <c r="P29" i="5"/>
  <c r="V28" i="5"/>
  <c r="T28" i="5"/>
  <c r="R28" i="5"/>
  <c r="Q28" i="5"/>
  <c r="S28" i="5" s="1"/>
  <c r="P28" i="5"/>
  <c r="V27" i="5"/>
  <c r="T27" i="5"/>
  <c r="R27" i="5"/>
  <c r="Q27" i="5"/>
  <c r="S27" i="5" s="1"/>
  <c r="P27" i="5"/>
  <c r="V26" i="5"/>
  <c r="T26" i="5"/>
  <c r="R26" i="5"/>
  <c r="Q26" i="5"/>
  <c r="S26" i="5" s="1"/>
  <c r="P26" i="5"/>
  <c r="U25" i="5"/>
  <c r="T25" i="5"/>
  <c r="R25" i="5"/>
  <c r="Q25" i="5"/>
  <c r="S25" i="5" s="1"/>
  <c r="P25" i="5"/>
  <c r="U24" i="5"/>
  <c r="T24" i="5"/>
  <c r="R24" i="5"/>
  <c r="Q24" i="5"/>
  <c r="S24" i="5" s="1"/>
  <c r="P24" i="5"/>
  <c r="U23" i="5"/>
  <c r="T23" i="5"/>
  <c r="R23" i="5"/>
  <c r="Q23" i="5"/>
  <c r="P23" i="5"/>
  <c r="U22" i="5"/>
  <c r="T22" i="5"/>
  <c r="R22" i="5"/>
  <c r="Q22" i="5"/>
  <c r="S22" i="5" s="1"/>
  <c r="P22" i="5"/>
  <c r="U21" i="5"/>
  <c r="T21" i="5"/>
  <c r="R21" i="5"/>
  <c r="Q21" i="5"/>
  <c r="S21" i="5" s="1"/>
  <c r="P21" i="5"/>
  <c r="U20" i="5"/>
  <c r="T20" i="5"/>
  <c r="R20" i="5"/>
  <c r="Q20" i="5"/>
  <c r="S20" i="5" s="1"/>
  <c r="P20" i="5"/>
  <c r="U19" i="5"/>
  <c r="T19" i="5"/>
  <c r="R19" i="5"/>
  <c r="Q19" i="5"/>
  <c r="S19" i="5" s="1"/>
  <c r="P19" i="5"/>
  <c r="U18" i="5"/>
  <c r="T18" i="5"/>
  <c r="R18" i="5"/>
  <c r="Q18" i="5"/>
  <c r="P18" i="5"/>
  <c r="U17" i="5"/>
  <c r="T17" i="5"/>
  <c r="R17" i="5"/>
  <c r="Q17" i="5"/>
  <c r="S17" i="5" s="1"/>
  <c r="P17" i="5"/>
  <c r="U16" i="5"/>
  <c r="T16" i="5"/>
  <c r="R16" i="5"/>
  <c r="Q16" i="5"/>
  <c r="S16" i="5" s="1"/>
  <c r="P16" i="5"/>
  <c r="U15" i="5"/>
  <c r="T15" i="5"/>
  <c r="R15" i="5"/>
  <c r="Q15" i="5"/>
  <c r="P15" i="5"/>
  <c r="U14" i="5"/>
  <c r="T14" i="5"/>
  <c r="R14" i="5"/>
  <c r="Q14" i="5"/>
  <c r="S14" i="5" s="1"/>
  <c r="P14" i="5"/>
  <c r="N12" i="5"/>
  <c r="M12" i="5"/>
  <c r="U13" i="5"/>
  <c r="T13" i="5"/>
  <c r="R13" i="5"/>
  <c r="Q13" i="5"/>
  <c r="S13" i="5" s="1"/>
  <c r="N11" i="5"/>
  <c r="M11" i="5"/>
  <c r="U10" i="5"/>
  <c r="T10" i="5"/>
  <c r="R10" i="5"/>
  <c r="Q10" i="5"/>
  <c r="S10" i="5" s="1"/>
  <c r="P10" i="5"/>
  <c r="N10" i="5"/>
  <c r="M10" i="5"/>
  <c r="U9" i="5"/>
  <c r="T9" i="5"/>
  <c r="R9" i="5"/>
  <c r="Q9" i="5"/>
  <c r="S9" i="5" s="1"/>
  <c r="P9" i="5"/>
  <c r="N9" i="5"/>
  <c r="M9" i="5"/>
  <c r="U8" i="5"/>
  <c r="T8" i="5"/>
  <c r="R8" i="5"/>
  <c r="Q8" i="5"/>
  <c r="S8" i="5" s="1"/>
  <c r="P8" i="5"/>
  <c r="N8" i="5"/>
  <c r="M8" i="5"/>
  <c r="V7" i="5"/>
  <c r="U7" i="5"/>
  <c r="R7" i="5"/>
  <c r="Q7" i="5"/>
  <c r="S7" i="5" s="1"/>
  <c r="P7" i="5"/>
  <c r="N7" i="5"/>
  <c r="M7" i="5"/>
  <c r="V6" i="5"/>
  <c r="U6" i="5"/>
  <c r="R6" i="5"/>
  <c r="Q6" i="5"/>
  <c r="P6" i="5"/>
  <c r="N6" i="5"/>
  <c r="M6" i="5"/>
  <c r="V5" i="5"/>
  <c r="U5" i="5"/>
  <c r="R5" i="5"/>
  <c r="Q5" i="5"/>
  <c r="S5" i="5" s="1"/>
  <c r="P5" i="5"/>
  <c r="N5" i="5"/>
  <c r="M5" i="5"/>
  <c r="V4" i="5"/>
  <c r="N4" i="5"/>
  <c r="M4" i="5"/>
  <c r="O14" i="4"/>
  <c r="H14" i="4"/>
  <c r="O13" i="4"/>
  <c r="H13" i="4"/>
  <c r="O12" i="4"/>
  <c r="H12" i="4"/>
  <c r="O11" i="4"/>
  <c r="H11" i="4"/>
  <c r="O10" i="4"/>
  <c r="H10" i="4"/>
  <c r="O9" i="4"/>
  <c r="H9" i="4"/>
  <c r="O8" i="4"/>
  <c r="H8" i="4"/>
  <c r="O7" i="4"/>
  <c r="H7" i="4"/>
  <c r="O6" i="4"/>
  <c r="H6" i="4"/>
  <c r="O5" i="4"/>
  <c r="H5" i="4"/>
  <c r="O4" i="4"/>
  <c r="H4" i="4"/>
  <c r="H61" i="6"/>
  <c r="B61" i="6"/>
  <c r="K60" i="6"/>
  <c r="K61" i="6" s="1"/>
  <c r="J60" i="6"/>
  <c r="J61" i="6" s="1"/>
  <c r="I60" i="6"/>
  <c r="I61" i="6" s="1"/>
  <c r="H60" i="6"/>
  <c r="G60" i="6"/>
  <c r="G61" i="6" s="1"/>
  <c r="F60" i="6"/>
  <c r="F61" i="6" s="1"/>
  <c r="E60" i="6"/>
  <c r="E61" i="6" s="1"/>
  <c r="D60" i="6"/>
  <c r="D61" i="6" s="1"/>
  <c r="C60" i="6"/>
  <c r="C61" i="6" s="1"/>
  <c r="B60" i="6"/>
  <c r="K55" i="6"/>
  <c r="J55" i="6"/>
  <c r="I55" i="6"/>
  <c r="H55" i="6"/>
  <c r="G55" i="6"/>
  <c r="F55" i="6"/>
  <c r="E55" i="6"/>
  <c r="D55" i="6"/>
  <c r="C55" i="6"/>
  <c r="B55" i="6"/>
  <c r="L54" i="6"/>
  <c r="G16" i="6" s="1"/>
  <c r="L53" i="6"/>
  <c r="L52" i="6"/>
  <c r="G14" i="6" s="1"/>
  <c r="L51" i="6"/>
  <c r="L50" i="6"/>
  <c r="G12" i="6" s="1"/>
  <c r="L49" i="6"/>
  <c r="G11" i="6" s="1"/>
  <c r="L48" i="6"/>
  <c r="G10" i="6" s="1"/>
  <c r="L47" i="6"/>
  <c r="L46" i="6"/>
  <c r="L55" i="6" s="1"/>
  <c r="B39" i="6"/>
  <c r="B42" i="6" s="1"/>
  <c r="C18" i="6"/>
  <c r="B29" i="6" s="1"/>
  <c r="J17" i="6"/>
  <c r="H17" i="6"/>
  <c r="C16" i="6"/>
  <c r="G15" i="6"/>
  <c r="C15" i="6"/>
  <c r="C14" i="6"/>
  <c r="G13" i="6"/>
  <c r="C13" i="6"/>
  <c r="C12" i="6"/>
  <c r="C11" i="6"/>
  <c r="C10" i="6"/>
  <c r="G9" i="6"/>
  <c r="C9" i="6"/>
  <c r="G8" i="6"/>
  <c r="C8" i="6"/>
  <c r="C17" i="6" s="1"/>
  <c r="C19" i="6" s="1"/>
  <c r="C21" i="3"/>
  <c r="D15" i="3"/>
  <c r="D14" i="3"/>
  <c r="D13" i="3"/>
  <c r="D11" i="3"/>
  <c r="D9" i="3"/>
  <c r="D7" i="3"/>
  <c r="E48" i="2"/>
  <c r="E47" i="2"/>
  <c r="E46" i="2"/>
  <c r="E45" i="2"/>
  <c r="E44" i="2"/>
  <c r="C44" i="2"/>
  <c r="C43" i="2"/>
  <c r="F40" i="2"/>
  <c r="C20" i="3" s="1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B14" i="1"/>
  <c r="V23" i="5" l="1"/>
  <c r="V16" i="5"/>
  <c r="K10" i="5"/>
  <c r="V17" i="5"/>
  <c r="V32" i="5"/>
  <c r="T6" i="5"/>
  <c r="U30" i="5"/>
  <c r="V35" i="5"/>
  <c r="U31" i="5"/>
  <c r="V22" i="5"/>
  <c r="V39" i="5"/>
  <c r="V25" i="5"/>
  <c r="V19" i="5"/>
  <c r="V36" i="5"/>
  <c r="V13" i="5"/>
  <c r="U29" i="5"/>
  <c r="U28" i="5"/>
  <c r="V14" i="5"/>
  <c r="V33" i="5"/>
  <c r="T7" i="5"/>
  <c r="V24" i="5"/>
  <c r="L8" i="5"/>
  <c r="V18" i="5"/>
  <c r="S6" i="5"/>
  <c r="V8" i="5"/>
  <c r="V21" i="5"/>
  <c r="V10" i="5"/>
  <c r="U26" i="5"/>
  <c r="L7" i="5"/>
  <c r="L9" i="5"/>
  <c r="T5" i="5"/>
  <c r="V34" i="5"/>
  <c r="V15" i="5"/>
  <c r="V9" i="5"/>
  <c r="V20" i="5"/>
  <c r="U27" i="5"/>
  <c r="V37" i="5"/>
  <c r="L5" i="5"/>
  <c r="I10" i="5"/>
  <c r="I7" i="5"/>
  <c r="J9" i="5"/>
  <c r="E9" i="5"/>
  <c r="K6" i="5"/>
  <c r="C8" i="5"/>
  <c r="L10" i="5"/>
  <c r="C45" i="2"/>
  <c r="I40" i="2"/>
  <c r="G17" i="6"/>
  <c r="B40" i="6" s="1"/>
  <c r="C22" i="3"/>
  <c r="C23" i="3" s="1"/>
  <c r="B28" i="3"/>
  <c r="B41" i="6"/>
  <c r="D8" i="5"/>
  <c r="F9" i="5"/>
  <c r="C7" i="5"/>
  <c r="E8" i="5"/>
  <c r="G9" i="5"/>
  <c r="K11" i="5"/>
  <c r="L6" i="5"/>
  <c r="D7" i="5"/>
  <c r="F8" i="5"/>
  <c r="H9" i="5"/>
  <c r="J10" i="5"/>
  <c r="L11" i="5"/>
  <c r="S15" i="5"/>
  <c r="S23" i="5"/>
  <c r="C46" i="2"/>
  <c r="C6" i="5"/>
  <c r="E7" i="5"/>
  <c r="S37" i="5"/>
  <c r="D6" i="5"/>
  <c r="F7" i="5"/>
  <c r="I8" i="5"/>
  <c r="K9" i="5"/>
  <c r="J8" i="5"/>
  <c r="G6" i="5"/>
  <c r="K8" i="5"/>
  <c r="H6" i="5"/>
  <c r="J7" i="5"/>
  <c r="I6" i="5"/>
  <c r="K7" i="5"/>
  <c r="J6" i="5"/>
  <c r="S18" i="5"/>
  <c r="S38" i="5"/>
  <c r="C12" i="5"/>
  <c r="K5" i="5"/>
  <c r="D12" i="5"/>
  <c r="C11" i="5"/>
  <c r="E12" i="5"/>
  <c r="D11" i="5"/>
  <c r="F12" i="5"/>
  <c r="C10" i="5"/>
  <c r="E11" i="5"/>
  <c r="G12" i="5"/>
  <c r="D10" i="5"/>
  <c r="F11" i="5"/>
  <c r="H12" i="5"/>
  <c r="C9" i="5"/>
  <c r="E10" i="5"/>
  <c r="G11" i="5"/>
  <c r="I12" i="5"/>
  <c r="D9" i="5"/>
  <c r="F10" i="5"/>
  <c r="H11" i="5"/>
  <c r="J12" i="5"/>
  <c r="C11" i="3" l="1"/>
  <c r="E11" i="3" s="1"/>
  <c r="B14" i="6" s="1"/>
  <c r="D14" i="6" s="1"/>
  <c r="B11" i="3"/>
  <c r="E14" i="6" s="1"/>
  <c r="B10" i="5"/>
  <c r="G10" i="5" s="1"/>
  <c r="B11" i="5"/>
  <c r="J11" i="5" s="1"/>
  <c r="B5" i="3"/>
  <c r="E8" i="6" s="1"/>
  <c r="C10" i="3"/>
  <c r="E10" i="3" s="1"/>
  <c r="B13" i="6" s="1"/>
  <c r="D13" i="6" s="1"/>
  <c r="B7" i="3"/>
  <c r="E10" i="6" s="1"/>
  <c r="B6" i="3"/>
  <c r="E9" i="6" s="1"/>
  <c r="B5" i="5"/>
  <c r="B9" i="3"/>
  <c r="E12" i="6" s="1"/>
  <c r="B9" i="5"/>
  <c r="I9" i="5" s="1"/>
  <c r="B8" i="5"/>
  <c r="H8" i="5" s="1"/>
  <c r="B8" i="3"/>
  <c r="E11" i="6" s="1"/>
  <c r="C12" i="3"/>
  <c r="E12" i="3" s="1"/>
  <c r="B15" i="6" s="1"/>
  <c r="D15" i="6" s="1"/>
  <c r="B12" i="3"/>
  <c r="E15" i="6" s="1"/>
  <c r="B7" i="5"/>
  <c r="B33" i="6"/>
  <c r="B31" i="3"/>
  <c r="B10" i="3"/>
  <c r="E13" i="6" s="1"/>
  <c r="C7" i="3"/>
  <c r="E7" i="3" s="1"/>
  <c r="B10" i="6" s="1"/>
  <c r="D10" i="6" s="1"/>
  <c r="B13" i="3"/>
  <c r="E16" i="6" s="1"/>
  <c r="B4" i="5"/>
  <c r="C4" i="5" s="1"/>
  <c r="C13" i="3"/>
  <c r="E13" i="3" s="1"/>
  <c r="B16" i="6" s="1"/>
  <c r="D16" i="6" s="1"/>
  <c r="C6" i="3"/>
  <c r="E6" i="3" s="1"/>
  <c r="B9" i="6" s="1"/>
  <c r="D9" i="6" s="1"/>
  <c r="C8" i="3"/>
  <c r="E8" i="3" s="1"/>
  <c r="B11" i="6" s="1"/>
  <c r="D11" i="6" s="1"/>
  <c r="B6" i="5"/>
  <c r="C9" i="3"/>
  <c r="E9" i="3" s="1"/>
  <c r="B12" i="6" s="1"/>
  <c r="D12" i="6" s="1"/>
  <c r="C5" i="3"/>
  <c r="B12" i="5"/>
  <c r="C5" i="5" l="1"/>
  <c r="C13" i="5" s="1"/>
  <c r="C14" i="5" s="1"/>
  <c r="H5" i="5"/>
  <c r="I5" i="5"/>
  <c r="J5" i="5"/>
  <c r="F5" i="5"/>
  <c r="E5" i="5"/>
  <c r="G5" i="5"/>
  <c r="F14" i="6"/>
  <c r="I14" i="6" s="1"/>
  <c r="I11" i="5"/>
  <c r="H10" i="5"/>
  <c r="D5" i="5"/>
  <c r="F10" i="6"/>
  <c r="I10" i="6" s="1"/>
  <c r="G8" i="5"/>
  <c r="F9" i="6"/>
  <c r="I9" i="6" s="1"/>
  <c r="F16" i="6"/>
  <c r="I16" i="6" s="1"/>
  <c r="K12" i="5"/>
  <c r="L12" i="5"/>
  <c r="F12" i="6"/>
  <c r="E6" i="5"/>
  <c r="F6" i="5"/>
  <c r="E17" i="6"/>
  <c r="F8" i="6"/>
  <c r="I8" i="6" s="1"/>
  <c r="C14" i="3"/>
  <c r="E5" i="3"/>
  <c r="B14" i="3"/>
  <c r="G7" i="5"/>
  <c r="H7" i="5"/>
  <c r="F15" i="6"/>
  <c r="I15" i="6" s="1"/>
  <c r="F11" i="6"/>
  <c r="F13" i="6"/>
  <c r="I13" i="6" s="1"/>
  <c r="K4" i="5"/>
  <c r="H4" i="5"/>
  <c r="B13" i="5"/>
  <c r="F4" i="5"/>
  <c r="J4" i="5"/>
  <c r="J13" i="5" s="1"/>
  <c r="G4" i="5"/>
  <c r="D4" i="5"/>
  <c r="L4" i="5"/>
  <c r="I4" i="5"/>
  <c r="E4" i="5"/>
  <c r="K10" i="6" l="1"/>
  <c r="L10" i="6" s="1"/>
  <c r="M10" i="6" s="1"/>
  <c r="K14" i="6"/>
  <c r="L14" i="6" s="1"/>
  <c r="M14" i="6" s="1"/>
  <c r="D13" i="5"/>
  <c r="D14" i="5" s="1"/>
  <c r="I13" i="5"/>
  <c r="H13" i="5"/>
  <c r="K9" i="6"/>
  <c r="L9" i="6" s="1"/>
  <c r="M9" i="6" s="1"/>
  <c r="F13" i="5"/>
  <c r="G13" i="5"/>
  <c r="K13" i="5"/>
  <c r="L13" i="5"/>
  <c r="E15" i="3"/>
  <c r="B18" i="6" s="1"/>
  <c r="B27" i="3"/>
  <c r="B29" i="3" s="1"/>
  <c r="B59" i="6"/>
  <c r="K13" i="6"/>
  <c r="L13" i="6" s="1"/>
  <c r="M13" i="6" s="1"/>
  <c r="I11" i="6"/>
  <c r="K11" i="6"/>
  <c r="I12" i="6"/>
  <c r="K12" i="6"/>
  <c r="K8" i="6"/>
  <c r="E14" i="3"/>
  <c r="B8" i="6"/>
  <c r="E13" i="5"/>
  <c r="K15" i="6"/>
  <c r="L15" i="6" s="1"/>
  <c r="M15" i="6" s="1"/>
  <c r="K16" i="6"/>
  <c r="L16" i="6" s="1"/>
  <c r="M16" i="6" s="1"/>
  <c r="E16" i="3" l="1"/>
  <c r="B23" i="6" s="1"/>
  <c r="K17" i="6"/>
  <c r="B26" i="6" s="1"/>
  <c r="L12" i="6"/>
  <c r="M12" i="6" s="1"/>
  <c r="L11" i="6"/>
  <c r="M11" i="6" s="1"/>
  <c r="L8" i="6"/>
  <c r="B17" i="6"/>
  <c r="B19" i="6" s="1"/>
  <c r="D8" i="6"/>
  <c r="C59" i="6"/>
  <c r="E14" i="5"/>
  <c r="D18" i="6"/>
  <c r="B30" i="6" s="1"/>
  <c r="B28" i="6"/>
  <c r="I17" i="6"/>
  <c r="B25" i="6" s="1"/>
  <c r="B30" i="3" l="1"/>
  <c r="B32" i="3" s="1"/>
  <c r="B35" i="6" s="1"/>
  <c r="L17" i="6"/>
  <c r="B34" i="6" s="1"/>
  <c r="B36" i="6" s="1"/>
  <c r="B37" i="6" s="1"/>
  <c r="F14" i="5"/>
  <c r="D59" i="6"/>
  <c r="D17" i="6"/>
  <c r="M8" i="6"/>
  <c r="M17" i="6" s="1"/>
  <c r="B33" i="3" l="1"/>
  <c r="B32" i="6"/>
  <c r="B27" i="6"/>
  <c r="B31" i="6"/>
  <c r="D19" i="6"/>
  <c r="B24" i="6" s="1"/>
  <c r="G14" i="5"/>
  <c r="E59" i="6"/>
  <c r="H14" i="5" l="1"/>
  <c r="F59" i="6"/>
  <c r="I14" i="5" l="1"/>
  <c r="G59" i="6"/>
  <c r="J14" i="5" l="1"/>
  <c r="H59" i="6"/>
  <c r="K14" i="5" l="1"/>
  <c r="I59" i="6"/>
  <c r="L14" i="5" l="1"/>
  <c r="K59" i="6" s="1"/>
  <c r="J59" i="6"/>
</calcChain>
</file>

<file path=xl/sharedStrings.xml><?xml version="1.0" encoding="utf-8"?>
<sst xmlns="http://schemas.openxmlformats.org/spreadsheetml/2006/main" count="469" uniqueCount="294">
  <si>
    <t>Paramètres du projet</t>
  </si>
  <si>
    <t>Modifiez uniquement les cellules jaunes ; tout le reste se recalcule automatiquement.</t>
  </si>
  <si>
    <t>Taux horaire — réalisation ($/h)</t>
  </si>
  <si>
    <t>Taux horaire — gestion ($/h)</t>
  </si>
  <si>
    <t>Taux horaire — facturation client ($/h)</t>
  </si>
  <si>
    <t>Provision pour aléas (%)</t>
  </si>
  <si>
    <t>Fournitures (détail)</t>
  </si>
  <si>
    <t>Onduleur (UPS) — Lot 2</t>
  </si>
  <si>
    <t>Disque de sauvegarde — Lot 4</t>
  </si>
  <si>
    <t>ESP32 et capteurs — Lot 6</t>
  </si>
  <si>
    <t>Câblage et divers — Lot 8</t>
  </si>
  <si>
    <t>Total fournitures</t>
  </si>
  <si>
    <t>Premier jour de la semaine 6 (lundi)</t>
  </si>
  <si>
    <t>Liste des tâches — Organigramme technique de projet (OTP)</t>
  </si>
  <si>
    <t>Coût = Durée × taux (réalisation ou gestion, selon la colonne Type). Modifiez les durées (bleu) au besoin.</t>
  </si>
  <si>
    <t>No</t>
  </si>
  <si>
    <t>Désignation de la tâche</t>
  </si>
  <si>
    <t>Lot</t>
  </si>
  <si>
    <t>Ressource</t>
  </si>
  <si>
    <t>Type</t>
  </si>
  <si>
    <t>Durée (h)</t>
  </si>
  <si>
    <t>Début</t>
  </si>
  <si>
    <t>Fin</t>
  </si>
  <si>
    <t>Coût ($)</t>
  </si>
  <si>
    <t>Sem. début</t>
  </si>
  <si>
    <t>Sem. fin</t>
  </si>
  <si>
    <t>T0.1</t>
  </si>
  <si>
    <t>Rencontres hebdomadaires de suivi</t>
  </si>
  <si>
    <t>Lot 0</t>
  </si>
  <si>
    <t>Chef de projet</t>
  </si>
  <si>
    <t>Gestion</t>
  </si>
  <si>
    <t>T0.2</t>
  </si>
  <si>
    <t>Mise à jour de l'AMDEC et du budget à jour</t>
  </si>
  <si>
    <t>T0.3</t>
  </si>
  <si>
    <t>Coordination et comptes rendus</t>
  </si>
  <si>
    <t>T0.4</t>
  </si>
  <si>
    <t>Participation des équipiers aux rencontres de suivi</t>
  </si>
  <si>
    <t>Équipe</t>
  </si>
  <si>
    <t>Réalisation</t>
  </si>
  <si>
    <t>T1.1</t>
  </si>
  <si>
    <t>Installation et configuration de Proxmox VE</t>
  </si>
  <si>
    <t>Lot 1</t>
  </si>
  <si>
    <t>Loucas</t>
  </si>
  <si>
    <t>T1.2</t>
  </si>
  <si>
    <t>Réseau physique et configuration des VLAN</t>
  </si>
  <si>
    <t>T1.3</t>
  </si>
  <si>
    <t>Provisionnement des VM/LXC avec Terraform</t>
  </si>
  <si>
    <t>Alexy</t>
  </si>
  <si>
    <t>T1.4</t>
  </si>
  <si>
    <t>Playbooks Ansible (automatisation centralisée)</t>
  </si>
  <si>
    <t>Nicolas-André</t>
  </si>
  <si>
    <t>T1.5</t>
  </si>
  <si>
    <t>Orchestration de conteneurs avec Kubernetes (k3s)</t>
  </si>
  <si>
    <t>T1.6</t>
  </si>
  <si>
    <t>Plan d'adressage IP et segmentation VLAN</t>
  </si>
  <si>
    <t>T2.1</t>
  </si>
  <si>
    <t>Installation du pare-feu pfSense/OPNsense</t>
  </si>
  <si>
    <t>Lot 2</t>
  </si>
  <si>
    <t>T2.2</t>
  </si>
  <si>
    <t>Configuration du VPN avec Tailscale</t>
  </si>
  <si>
    <t>T2.3</t>
  </si>
  <si>
    <t>Règles de pare-feu et segmentation</t>
  </si>
  <si>
    <t>T2.4</t>
  </si>
  <si>
    <t>Reverse proxy et HTTPS avec Caddy</t>
  </si>
  <si>
    <t>T3.1</t>
  </si>
  <si>
    <t>Service VoIP avec Asterisk</t>
  </si>
  <si>
    <t>Lot 3</t>
  </si>
  <si>
    <t>T3.2</t>
  </si>
  <si>
    <t>Serveur de développement web (Apache, MariaDB, PHP)</t>
  </si>
  <si>
    <t>T3.3</t>
  </si>
  <si>
    <t>Supervision des ressources avec Netdata</t>
  </si>
  <si>
    <t>T4.1</t>
  </si>
  <si>
    <t>Déploiement d'Active Directory Domain Services</t>
  </si>
  <si>
    <t>Lot 4</t>
  </si>
  <si>
    <t>T4.2</t>
  </si>
  <si>
    <t>Serveur de courriel avec hMailServer</t>
  </si>
  <si>
    <t>Joshua</t>
  </si>
  <si>
    <t>T4.3</t>
  </si>
  <si>
    <t>Gestion des tickets avec osTicket</t>
  </si>
  <si>
    <t>T4.4</t>
  </si>
  <si>
    <t>Sauvegardes avec Veeam Backup &amp; Replication</t>
  </si>
  <si>
    <t>T4.5</t>
  </si>
  <si>
    <t>Déploiement de Microsoft Defender for Endpoint</t>
  </si>
  <si>
    <t>T5.1</t>
  </si>
  <si>
    <t>Script d'automatisation individuel</t>
  </si>
  <si>
    <t>Lot 5</t>
  </si>
  <si>
    <t>T5.2</t>
  </si>
  <si>
    <t>T5.3</t>
  </si>
  <si>
    <t>T5.4</t>
  </si>
  <si>
    <t>T6.1</t>
  </si>
  <si>
    <t>Installation du courtier MQTT avec Mosquitto</t>
  </si>
  <si>
    <t>Lot 6</t>
  </si>
  <si>
    <t>T6.2</t>
  </si>
  <si>
    <t>Intégration des modules ESP32 (individuel)</t>
  </si>
  <si>
    <t>T7.1</t>
  </si>
  <si>
    <t>Diffusion multimédia avec Jellyfin</t>
  </si>
  <si>
    <t>Lot 7</t>
  </si>
  <si>
    <t>T7.2</t>
  </si>
  <si>
    <t>Suite *arr et téléchargement (Radarr, Sonarr, Prowlarr, qBittorrent)</t>
  </si>
  <si>
    <t>T7.3</t>
  </si>
  <si>
    <t>Tableau de bord avec Homarr</t>
  </si>
  <si>
    <t>T7.4</t>
  </si>
  <si>
    <t>Panneau de serveurs de jeux avec AMP</t>
  </si>
  <si>
    <t>T8.1</t>
  </si>
  <si>
    <t>Tests d'intégration des services</t>
  </si>
  <si>
    <t>Lot 8</t>
  </si>
  <si>
    <t>T8.2</t>
  </si>
  <si>
    <t>Rédaction de la documentation technique</t>
  </si>
  <si>
    <t>T8.3</t>
  </si>
  <si>
    <t>Démonstrations d'état d'avancement</t>
  </si>
  <si>
    <t>T8.4</t>
  </si>
  <si>
    <t>Préparation de la présentation finale</t>
  </si>
  <si>
    <t>Total</t>
  </si>
  <si>
    <t>Résumé par type</t>
  </si>
  <si>
    <t>Charge par ressource (réalisation)</t>
  </si>
  <si>
    <t>Heures de réalisation</t>
  </si>
  <si>
    <t>Heures</t>
  </si>
  <si>
    <t>Heures de gestion</t>
  </si>
  <si>
    <t>Coût de réalisation</t>
  </si>
  <si>
    <t>Coût de gestion</t>
  </si>
  <si>
    <t>Budget détaillé</t>
  </si>
  <si>
    <t>A. Coût du personnel pour l'entreprise (coût interne)</t>
  </si>
  <si>
    <t>Main-d'œuvre ($)</t>
  </si>
  <si>
    <t>Fournitures ($)</t>
  </si>
  <si>
    <t>Total ($)</t>
  </si>
  <si>
    <t>Sous-total</t>
  </si>
  <si>
    <t>Provision pour aléas</t>
  </si>
  <si>
    <t>Coût interne total</t>
  </si>
  <si>
    <t>B. Coût du personnel pour le client</t>
  </si>
  <si>
    <t>Poste</t>
  </si>
  <si>
    <t>Détail</t>
  </si>
  <si>
    <t>Montant ($)</t>
  </si>
  <si>
    <t>Main-d'œuvre</t>
  </si>
  <si>
    <t>Total des heures × taux client</t>
  </si>
  <si>
    <t>Fournitures</t>
  </si>
  <si>
    <t>au coût</t>
  </si>
  <si>
    <t>10 % de la main-d'œuvre et des fournitures</t>
  </si>
  <si>
    <t>Prix total offert au client</t>
  </si>
  <si>
    <t>C. Synthèse budgétaire</t>
  </si>
  <si>
    <t>Indicateur</t>
  </si>
  <si>
    <t>Montant</t>
  </si>
  <si>
    <t>Coût du personnel pour l'entreprise</t>
  </si>
  <si>
    <t>Coût du personnel facturé au client</t>
  </si>
  <si>
    <t>Écart sur la main-d'œuvre (marge)</t>
  </si>
  <si>
    <t>Coût interne total (fournitures et aléas compris)</t>
  </si>
  <si>
    <t>Marge brute du projet ($)</t>
  </si>
  <si>
    <t>Marge brute du projet (%)</t>
  </si>
  <si>
    <t>Budget à jour — suivi hebdomadaire de l'implantation</t>
  </si>
  <si>
    <t>Jaune/bleu = saisies du chef de projet en poste ; vert = liens vers les autres onglets ; noir = calculs. À la semaine 0 (avant l'implantation), le budget à jour est identique au budget initial.</t>
  </si>
  <si>
    <t>Une modification approuvée (section 5) est convertie en heures au taux moyen du lot et s'ajoute aux heures prévues ; « Ajustement des heures restantes » sert à toute autre révision d'estimation.</t>
  </si>
  <si>
    <t>Semaine de suivi (dernière semaine saisie ; 0 = avant S6)</t>
  </si>
  <si>
    <t>1. Budget à jour par lot (coût interne)</t>
  </si>
  <si>
    <t>Budget initial ($)</t>
  </si>
  <si>
    <t>Modifications approuvées ($)</t>
  </si>
  <si>
    <t>Budget à jour ($)</t>
  </si>
  <si>
    <t>Heures prévues</t>
  </si>
  <si>
    <t>Taux moyen ($/h)</t>
  </si>
  <si>
    <t>Heures réelles cumulées</t>
  </si>
  <si>
    <t>Fournitures réelles ($)</t>
  </si>
  <si>
    <t>Coût réel à ce jour ($)</t>
  </si>
  <si>
    <t>Ajustement des heures restantes (h)</t>
  </si>
  <si>
    <t>Reste à engager ($)</t>
  </si>
  <si>
    <t>Prévision à terminaison ($)</t>
  </si>
  <si>
    <t>Écart : budget à jour − prévision ($)</t>
  </si>
  <si>
    <t>Total des lots</t>
  </si>
  <si>
    <t>Provision pour aléas (restante)</t>
  </si>
  <si>
    <t>Budget total à jour (lots + provision)</t>
  </si>
  <si>
    <t>2. Synthèse budgétaire à la semaine de suivi</t>
  </si>
  <si>
    <t>Valeur</t>
  </si>
  <si>
    <t>Coût interne — budget initial</t>
  </si>
  <si>
    <t>Coût interne — budget à jour</t>
  </si>
  <si>
    <t>Coût réel à ce jour</t>
  </si>
  <si>
    <t>Reste à engager (estimation)</t>
  </si>
  <si>
    <t>Prévision à terminaison (avant provision)</t>
  </si>
  <si>
    <t>Provision pour aléas — initiale</t>
  </si>
  <si>
    <t>Provision pour aléas — consommée</t>
  </si>
  <si>
    <t>Provision pour aléas — restante</t>
  </si>
  <si>
    <t>Marge de manœuvre des lots (budget des lots − prévision)</t>
  </si>
  <si>
    <t>Dépassement non couvert par la provision</t>
  </si>
  <si>
    <t>Coût à terminaison retenu (prévision + provision restante)</t>
  </si>
  <si>
    <t>Marge brute initiale ($)</t>
  </si>
  <si>
    <t>Marge brute prévue ($)</t>
  </si>
  <si>
    <t>Marge brute prévue (%)</t>
  </si>
  <si>
    <t>Heures prévues cumulées à la semaine de suivi (courbe en S)</t>
  </si>
  <si>
    <t>Écart en heures (réel − prévu)</t>
  </si>
  <si>
    <t>Indice d'avancement (réel ÷ prévu)</t>
  </si>
  <si>
    <t>3. Saisie hebdomadaire des heures réelles (h)</t>
  </si>
  <si>
    <t>Total (h)</t>
  </si>
  <si>
    <t>Total de la semaine</t>
  </si>
  <si>
    <t>4. Heures cumulées : prévu (courbe en S initiale) et réel</t>
  </si>
  <si>
    <t>Semaine</t>
  </si>
  <si>
    <t>Heures prévues cumulées</t>
  </si>
  <si>
    <t>Écart (réel − prévu)</t>
  </si>
  <si>
    <t>5. Journal des modifications budgétaires</t>
  </si>
  <si>
    <t>Niveau 1 — aléa mineur interne à un lot : absorbé par le budget du lot (à consigner, aucun effet sur les montants).</t>
  </si>
  <si>
    <t>Niveau 2 — modification touchant plusieurs lots : deux lignes de même montant et de signes contraires (lot receveur +, lot cédant −).</t>
  </si>
  <si>
    <t>Niveau 3 — surcoût au niveau du projet : montant positif imputé au lot concerné, prélevé sur la provision (Oui) ou ajouté au budget total (Non).</t>
  </si>
  <si>
    <t>Description</t>
  </si>
  <si>
    <t>Niveau (1 à 3)</t>
  </si>
  <si>
    <t>Lot touché</t>
  </si>
  <si>
    <t>Prélevé sur la provision ?</t>
  </si>
  <si>
    <t>Approuvé par</t>
  </si>
  <si>
    <t>Analyse des risques — AMDEC</t>
  </si>
  <si>
    <t>Criticité = Gravité × Fréquence × Non-détection. Les risques ≥ seuil sont surlignés.</t>
  </si>
  <si>
    <t>Seuil</t>
  </si>
  <si>
    <t>Fonction</t>
  </si>
  <si>
    <t>Mode de défaillance</t>
  </si>
  <si>
    <t>Effet</t>
  </si>
  <si>
    <t>Cause</t>
  </si>
  <si>
    <t>G</t>
  </si>
  <si>
    <t>F</t>
  </si>
  <si>
    <t>ND</t>
  </si>
  <si>
    <t>Criticité</t>
  </si>
  <si>
    <t>Action préventive / corrective</t>
  </si>
  <si>
    <t>Responsable</t>
  </si>
  <si>
    <t>Statut</t>
  </si>
  <si>
    <t>Dernière révision</t>
  </si>
  <si>
    <t>F après action</t>
  </si>
  <si>
    <t>ND après action</t>
  </si>
  <si>
    <t>Criticité après action</t>
  </si>
  <si>
    <t>Serveur Proxmox</t>
  </si>
  <si>
    <t>Panne matérielle</t>
  </si>
  <si>
    <t>Arrêt de tous les services</t>
  </si>
  <si>
    <t>Défaillance disque ou alimentation</t>
  </si>
  <si>
    <t>Sauvegardes régulières sur disque externe (Veeam), configuration de l'hôte exportée et documentée pour le reconstruire</t>
  </si>
  <si>
    <t>N.-A. Anillo</t>
  </si>
  <si>
    <t>Ouvert</t>
  </si>
  <si>
    <t>Alimentation électrique</t>
  </si>
  <si>
    <t>Coupure de courant</t>
  </si>
  <si>
    <t>Arrêt des services</t>
  </si>
  <si>
    <t>Panne du réseau électrique</t>
  </si>
  <si>
    <t>Onduleur (UPS)</t>
  </si>
  <si>
    <t>L. Viens</t>
  </si>
  <si>
    <t>Pare-feu / VPN (pfSense, Tailscale)</t>
  </si>
  <si>
    <t>Règles mal configurées</t>
  </si>
  <si>
    <t>Accès non autorisé au réseau</t>
  </si>
  <si>
    <t>Erreur humaine</t>
  </si>
  <si>
    <t>Revue des règles par un second équipier, tests de chaque VLAN avant la mise en service, exportation de la configuration</t>
  </si>
  <si>
    <t>Sauvegardes (Veeam)</t>
  </si>
  <si>
    <t>Copie corrompue ou non testée</t>
  </si>
  <si>
    <t>Perte de données irrécupérable</t>
  </si>
  <si>
    <t>Absence de vérification</t>
  </si>
  <si>
    <t>Tests de restauration périodiques</t>
  </si>
  <si>
    <t>J. Leclerc</t>
  </si>
  <si>
    <t>Hôte (ressources)</t>
  </si>
  <si>
    <t>Surcharge CPU / RAM</t>
  </si>
  <si>
    <t>Baisse de performance</t>
  </si>
  <si>
    <t>Sous-dimensionnement</t>
  </si>
  <si>
    <t>Supervision, quotas de ressources</t>
  </si>
  <si>
    <t>A. Després</t>
  </si>
  <si>
    <t>Planification</t>
  </si>
  <si>
    <t>Durées sous-estimées</t>
  </si>
  <si>
    <t>Retard du projet</t>
  </si>
  <si>
    <t>Estimation optimiste</t>
  </si>
  <si>
    <t>Provision d'aléas, suivi hebdomadaire</t>
  </si>
  <si>
    <t>Chef de projet en poste</t>
  </si>
  <si>
    <t>Indisponibilité d'un équipier</t>
  </si>
  <si>
    <t>Retard, surcharge</t>
  </si>
  <si>
    <t>Maladie, conflit d'horaire</t>
  </si>
  <si>
    <t>Rotation, documentation partagée</t>
  </si>
  <si>
    <t>Réseau (VLAN)</t>
  </si>
  <si>
    <t>Mauvaise segmentation</t>
  </si>
  <si>
    <t>Services isolés</t>
  </si>
  <si>
    <t>Configuration erronée</t>
  </si>
  <si>
    <t>Plan d'adressage validé, tests</t>
  </si>
  <si>
    <t>ESP32 / MQTT (Mosquitto)</t>
  </si>
  <si>
    <t>Module défaillant</t>
  </si>
  <si>
    <t>Fonction IoT non livrée</t>
  </si>
  <si>
    <t>Matériel ou micrologiciel</t>
  </si>
  <si>
    <t>Tests unitaires, module de rechange</t>
  </si>
  <si>
    <t>Reverse proxy / HTTPS (Caddy)</t>
  </si>
  <si>
    <t>Échec de renouvellement de certificat</t>
  </si>
  <si>
    <t>Services web inaccessibles en HTTPS</t>
  </si>
  <si>
    <t>Mauvaise configuration DNS ou pare-feu bloquant le défi ACME</t>
  </si>
  <si>
    <t>Surveillance des certificats, alerte avant expiration</t>
  </si>
  <si>
    <t>Automatisation (Terraform, Ansible)</t>
  </si>
  <si>
    <t>Script ou plan erroné appliqué</t>
  </si>
  <si>
    <t>Modification non désirée de l'infrastructure</t>
  </si>
  <si>
    <t>Erreur humaine, absence de revue</t>
  </si>
  <si>
    <t>Revue par les pairs, exécution en mode « plan » avant application</t>
  </si>
  <si>
    <t>Planification initiale — répartition de la charge et graphiques</t>
  </si>
  <si>
    <t>Chemin critique ?</t>
  </si>
  <si>
    <t>Tâche (Gantt)</t>
  </si>
  <si>
    <t>Début (sem.)</t>
  </si>
  <si>
    <t>Fin (sem.)</t>
  </si>
  <si>
    <t>Décalage</t>
  </si>
  <si>
    <t>Gestion (transversale)</t>
  </si>
  <si>
    <t>Hors chemin critique</t>
  </si>
  <si>
    <t>Chemin critique</t>
  </si>
  <si>
    <t>—</t>
  </si>
  <si>
    <t>Oui</t>
  </si>
  <si>
    <t>Non</t>
  </si>
  <si>
    <t>Total / semaine</t>
  </si>
  <si>
    <t>Charge cumulée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</si>
</sst>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&quot; $&quot;"/>
    <numFmt numFmtId="165" formatCode="0.0%"/>
    <numFmt numFmtId="166" formatCode="0&quot; h&quot;"/>
    <numFmt numFmtId="167" formatCode="\S0"/>
    <numFmt numFmtId="168" formatCode="0.0"/>
    <numFmt numFmtId="169" formatCode="yyyy\-mm\-dd"/>
  </numFmts>
  <fonts count="8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i/>
      <sz val="10"/>
      <color rgb="FF888888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3"/>
      <color rgb="FF000000"/>
      <name val="Arial"/>
      <charset val="1"/>
    </font>
    <font>
      <sz val="10"/>
      <color rgb="FF008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6C7"/>
        <bgColor rgb="FFFFFF99"/>
      </patternFill>
    </fill>
    <fill>
      <patternFill patternType="solid">
        <fgColor rgb="FFD9E2F0"/>
        <bgColor rgb="FFD9D9D9"/>
      </patternFill>
    </fill>
    <fill>
      <patternFill patternType="solid">
        <fgColor rgb="FFF3F6FB"/>
        <bgColor rgb="FFF9F9F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6" fontId="4" fillId="2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center" vertical="center"/>
    </xf>
    <xf numFmtId="169" fontId="4" fillId="2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8" fontId="3" fillId="5" borderId="1" xfId="0" applyNumberFormat="1" applyFont="1" applyFill="1" applyBorder="1" applyAlignment="1">
      <alignment horizontal="center" vertical="center"/>
    </xf>
    <xf numFmtId="168" fontId="3" fillId="6" borderId="1" xfId="0" applyNumberFormat="1" applyFont="1" applyFill="1" applyBorder="1" applyAlignment="1">
      <alignment horizontal="center" vertical="center"/>
    </xf>
    <xf numFmtId="168" fontId="3" fillId="7" borderId="1" xfId="0" applyNumberFormat="1" applyFont="1" applyFill="1" applyBorder="1" applyAlignment="1">
      <alignment horizontal="center" vertical="center"/>
    </xf>
    <xf numFmtId="168" fontId="3" fillId="8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center" vertical="center"/>
    </xf>
    <xf numFmtId="168" fontId="3" fillId="10" borderId="1" xfId="0" applyNumberFormat="1" applyFont="1" applyFill="1" applyBorder="1" applyAlignment="1">
      <alignment horizontal="center" vertical="center"/>
    </xf>
    <xf numFmtId="168" fontId="3" fillId="11" borderId="1" xfId="0" applyNumberFormat="1" applyFont="1" applyFill="1" applyBorder="1" applyAlignment="1">
      <alignment horizontal="center" vertical="center"/>
    </xf>
    <xf numFmtId="168" fontId="3" fillId="12" borderId="1" xfId="0" applyNumberFormat="1" applyFont="1" applyFill="1" applyBorder="1" applyAlignment="1">
      <alignment horizontal="center" vertical="center"/>
    </xf>
    <xf numFmtId="168" fontId="3" fillId="1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990000"/>
        <name val="Arial"/>
        <charset val="1"/>
      </font>
      <fill>
        <patternFill>
          <bgColor rgb="FFF4CCCC"/>
        </patternFill>
      </fill>
    </dxf>
    <dxf>
      <font>
        <b/>
        <color rgb="FF990000"/>
        <name val="Arial"/>
        <charset val="1"/>
      </font>
      <fill>
        <patternFill>
          <bgColor rgb="FFF4CCCC"/>
        </patternFill>
      </fill>
    </dxf>
    <dxf>
      <font>
        <b/>
        <color rgb="FF990000"/>
        <name val="Arial"/>
        <charset val="1"/>
      </font>
      <fill>
        <patternFill>
          <bgColor rgb="FFF4CCCC"/>
        </patternFill>
      </fill>
    </dxf>
    <dxf>
      <font>
        <color rgb="FFFFFFFF"/>
      </font>
    </dxf>
    <dxf>
      <font>
        <b/>
        <color rgb="FF990000"/>
        <name val="Arial"/>
        <charset val="1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6C7"/>
      <rgbColor rgb="FFF3F6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0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7EBB"/>
      <rgbColor rgb="FF888888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Heures cumulées : prévu et réel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'Budget à jour'!$A$59</c:f>
              <c:strCache>
                <c:ptCount val="1"/>
                <c:pt idx="0">
                  <c:v>Heures prévues cumulées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à jour'!$B$58:$K$58</c:f>
              <c:numCache>
                <c:formatCode>\S0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</c:numCache>
            </c:numRef>
          </c:cat>
          <c:val>
            <c:numRef>
              <c:f>'Budget à jour'!$B$59:$K$59</c:f>
              <c:numCache>
                <c:formatCode>0" h"</c:formatCode>
                <c:ptCount val="10"/>
                <c:pt idx="0">
                  <c:v>15.375</c:v>
                </c:pt>
                <c:pt idx="1">
                  <c:v>30.75</c:v>
                </c:pt>
                <c:pt idx="2">
                  <c:v>60.125</c:v>
                </c:pt>
                <c:pt idx="3">
                  <c:v>89.5</c:v>
                </c:pt>
                <c:pt idx="4">
                  <c:v>148.375</c:v>
                </c:pt>
                <c:pt idx="5">
                  <c:v>207.25</c:v>
                </c:pt>
                <c:pt idx="6">
                  <c:v>262.625</c:v>
                </c:pt>
                <c:pt idx="7">
                  <c:v>294</c:v>
                </c:pt>
                <c:pt idx="8">
                  <c:v>320</c:v>
                </c:pt>
                <c:pt idx="9">
                  <c:v>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A-4E38-BEC4-64F3908206D1}"/>
            </c:ext>
          </c:extLst>
        </c:ser>
        <c:ser>
          <c:idx val="1"/>
          <c:order val="1"/>
          <c:tx>
            <c:strRef>
              <c:f>'Budget à jour'!$A$60</c:f>
              <c:strCache>
                <c:ptCount val="1"/>
                <c:pt idx="0">
                  <c:v>Heures réelles cumulées</c:v>
                </c:pt>
              </c:strCache>
            </c:strRef>
          </c:tx>
          <c:spPr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à jour'!$B$58:$K$58</c:f>
              <c:numCache>
                <c:formatCode>\S0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</c:numCache>
            </c:numRef>
          </c:cat>
          <c:val>
            <c:numRef>
              <c:f>'Budget à jour'!$B$60:$K$60</c:f>
              <c:numCache>
                <c:formatCode>0.0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A-4E38-BEC4-64F390820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413266"/>
        <c:axId val="92178838"/>
      </c:lineChart>
      <c:catAx>
        <c:axId val="664132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Semaines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S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178838"/>
        <c:crosses val="autoZero"/>
        <c:auto val="1"/>
        <c:lblAlgn val="ctr"/>
        <c:lblOffset val="100"/>
        <c:noMultiLvlLbl val="0"/>
      </c:catAx>
      <c:valAx>
        <c:axId val="92178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Heures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&quot; h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64132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A" sz="1800" b="1" strike="noStrike" spc="-1">
                <a:solidFill>
                  <a:srgbClr val="000000"/>
                </a:solidFill>
                <a:latin typeface="Calibri"/>
              </a:rPr>
              <a:t>Courbe en S initiale — charge cumulée (h)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Planification!$C$3:$L$3</c:f>
              <c:numCache>
                <c:formatCode>\S0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</c:numCache>
            </c:numRef>
          </c:cat>
          <c:val>
            <c:numRef>
              <c:f>Planification!$C$14:$L$14</c:f>
              <c:numCache>
                <c:formatCode>0</c:formatCode>
                <c:ptCount val="10"/>
                <c:pt idx="0">
                  <c:v>15.375</c:v>
                </c:pt>
                <c:pt idx="1">
                  <c:v>30.75</c:v>
                </c:pt>
                <c:pt idx="2">
                  <c:v>60.125</c:v>
                </c:pt>
                <c:pt idx="3">
                  <c:v>89.5</c:v>
                </c:pt>
                <c:pt idx="4">
                  <c:v>148.375</c:v>
                </c:pt>
                <c:pt idx="5">
                  <c:v>207.25</c:v>
                </c:pt>
                <c:pt idx="6">
                  <c:v>262.625</c:v>
                </c:pt>
                <c:pt idx="7">
                  <c:v>294</c:v>
                </c:pt>
                <c:pt idx="8">
                  <c:v>320</c:v>
                </c:pt>
                <c:pt idx="9">
                  <c:v>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C-4C8B-AFA5-4E069A8DD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413266"/>
        <c:axId val="92178838"/>
      </c:lineChart>
      <c:catAx>
        <c:axId val="664132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A" sz="1000" b="1" strike="noStrike" spc="-1">
                    <a:solidFill>
                      <a:srgbClr val="000000"/>
                    </a:solidFill>
                    <a:latin typeface="Calibri"/>
                  </a:rPr>
                  <a:t>Semaines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S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178838"/>
        <c:crosses val="autoZero"/>
        <c:auto val="1"/>
        <c:lblAlgn val="ctr"/>
        <c:lblOffset val="100"/>
        <c:noMultiLvlLbl val="0"/>
      </c:catAx>
      <c:valAx>
        <c:axId val="92178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A" sz="1000" b="1" strike="noStrike" spc="-1">
                    <a:solidFill>
                      <a:srgbClr val="000000"/>
                    </a:solidFill>
                    <a:latin typeface="Calibri"/>
                  </a:rPr>
                  <a:t>Heures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64132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200" b="1"/>
            </a:pPr>
            <a:r>
              <a:rPr lang="fr-CA" sz="1200" b="1">
                <a:solidFill>
                  <a:srgbClr val="000000"/>
                </a:solidFill>
                <a:latin typeface="Arial"/>
              </a:rPr>
              <a:t>Diagramme de Gantt — 36 tâches, du 28 septembre au 4 décembre 2026 (S6 à S15)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Planification!$S$3</c:f>
              <c:strCache>
                <c:ptCount val="1"/>
                <c:pt idx="0">
                  <c:v>Décalage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Planification!$P$4:$P$39</c:f>
              <c:strCache>
                <c:ptCount val="36"/>
                <c:pt idx="0">
                  <c:v>T0.1 Rencontres hebdomadaires de suivi</c:v>
                </c:pt>
                <c:pt idx="1">
                  <c:v>T0.2 Mise à jour de l'AMDEC et du budget à jour</c:v>
                </c:pt>
                <c:pt idx="2">
                  <c:v>T0.3 Coordination et comptes rendus</c:v>
                </c:pt>
                <c:pt idx="3">
                  <c:v>T0.4 Participation des équipiers aux rencontres</c:v>
                </c:pt>
                <c:pt idx="4">
                  <c:v>T1.1 Installation et configuration de Proxmox V</c:v>
                </c:pt>
                <c:pt idx="5">
                  <c:v>T1.2 Réseau physique et configuration des VLAN</c:v>
                </c:pt>
                <c:pt idx="6">
                  <c:v>T1.3 Provisionnement des VM/LXC avec Terraform</c:v>
                </c:pt>
                <c:pt idx="7">
                  <c:v>T1.4 Playbooks Ansible (automatisation centrali</c:v>
                </c:pt>
                <c:pt idx="8">
                  <c:v>T1.5 Orchestration de conteneurs avec Kubernete</c:v>
                </c:pt>
                <c:pt idx="9">
                  <c:v>T1.6 Plan d'adressage IP et segmentation VLAN</c:v>
                </c:pt>
                <c:pt idx="10">
                  <c:v>T2.1 Installation du pare-feu pfSense/OPNsense</c:v>
                </c:pt>
                <c:pt idx="11">
                  <c:v>T2.2 Configuration du VPN avec Tailscale</c:v>
                </c:pt>
                <c:pt idx="12">
                  <c:v>T2.3 Règles de pare-feu et segmentation</c:v>
                </c:pt>
                <c:pt idx="13">
                  <c:v>T2.4 Reverse proxy et HTTPS avec Caddy</c:v>
                </c:pt>
                <c:pt idx="14">
                  <c:v>T3.1 Service VoIP avec Asterisk</c:v>
                </c:pt>
                <c:pt idx="15">
                  <c:v>T3.2 Serveur de développement web (Apache, Mari</c:v>
                </c:pt>
                <c:pt idx="16">
                  <c:v>T3.3 Supervision des ressources avec Netdata</c:v>
                </c:pt>
                <c:pt idx="17">
                  <c:v>T4.1 Déploiement d'Active Directory Domain Serv</c:v>
                </c:pt>
                <c:pt idx="18">
                  <c:v>T4.2 Serveur de courriel avec hMailServer</c:v>
                </c:pt>
                <c:pt idx="19">
                  <c:v>T4.3 Gestion des tickets avec osTicket</c:v>
                </c:pt>
                <c:pt idx="20">
                  <c:v>T4.4 Sauvegardes avec Veeam Backup &amp; Replicatio</c:v>
                </c:pt>
                <c:pt idx="21">
                  <c:v>T4.5 Déploiement de Microsoft Defender for Endp</c:v>
                </c:pt>
                <c:pt idx="22">
                  <c:v>T5.1 Script d'automatisation individuel</c:v>
                </c:pt>
                <c:pt idx="23">
                  <c:v>T5.2 Script d'automatisation individuel</c:v>
                </c:pt>
                <c:pt idx="24">
                  <c:v>T5.3 Script d'automatisation individuel</c:v>
                </c:pt>
                <c:pt idx="25">
                  <c:v>T5.4 Script d'automatisation individuel</c:v>
                </c:pt>
                <c:pt idx="26">
                  <c:v>T6.1 Installation du courtier MQTT avec Mosquit</c:v>
                </c:pt>
                <c:pt idx="27">
                  <c:v>T6.2 Intégration des modules ESP32 (individuel)</c:v>
                </c:pt>
                <c:pt idx="28">
                  <c:v>T7.1 Diffusion multimédia avec Jellyfin</c:v>
                </c:pt>
                <c:pt idx="29">
                  <c:v>T7.2 Suite *arr et téléchargement (Radarr, Sona</c:v>
                </c:pt>
                <c:pt idx="30">
                  <c:v>T7.3 Tableau de bord avec Homarr</c:v>
                </c:pt>
                <c:pt idx="31">
                  <c:v>T7.4 Panneau de serveurs de jeux avec AMP</c:v>
                </c:pt>
                <c:pt idx="32">
                  <c:v>T8.1 Tests d'intégration des services</c:v>
                </c:pt>
                <c:pt idx="33">
                  <c:v>T8.2 Rédaction de la documentation technique</c:v>
                </c:pt>
                <c:pt idx="34">
                  <c:v>T8.3 Démonstrations d'état d'avancement</c:v>
                </c:pt>
                <c:pt idx="35">
                  <c:v>T8.4 Préparation de la présentation finale</c:v>
                </c:pt>
              </c:strCache>
            </c:strRef>
          </c:cat>
          <c:val>
            <c:numRef>
              <c:f>Planification!$S$4:$S$39</c:f>
              <c:numCache>
                <c:formatCode>General</c:formatCode>
                <c:ptCount val="3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10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12</c:v>
                </c:pt>
                <c:pt idx="29">
                  <c:v>13</c:v>
                </c:pt>
                <c:pt idx="30">
                  <c:v>12</c:v>
                </c:pt>
                <c:pt idx="31">
                  <c:v>12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D-4FAD-86B1-A963F9BE0DD5}"/>
            </c:ext>
          </c:extLst>
        </c:ser>
        <c:ser>
          <c:idx val="1"/>
          <c:order val="1"/>
          <c:tx>
            <c:strRef>
              <c:f>Planification!$T$3</c:f>
              <c:strCache>
                <c:ptCount val="1"/>
                <c:pt idx="0">
                  <c:v>Gestion (transversale)</c:v>
                </c:pt>
              </c:strCache>
            </c:strRef>
          </c:tx>
          <c:spPr>
            <a:solidFill>
              <a:srgbClr val="7F7F7F"/>
            </a:solidFill>
            <a:ln w="6350">
              <a:solidFill>
                <a:srgbClr val="FFFFFF"/>
              </a:solidFill>
            </a:ln>
          </c:spPr>
          <c:invertIfNegative val="0"/>
          <c:cat>
            <c:strRef>
              <c:f>Planification!$P$4:$P$39</c:f>
              <c:strCache>
                <c:ptCount val="36"/>
                <c:pt idx="0">
                  <c:v>T0.1 Rencontres hebdomadaires de suivi</c:v>
                </c:pt>
                <c:pt idx="1">
                  <c:v>T0.2 Mise à jour de l'AMDEC et du budget à jour</c:v>
                </c:pt>
                <c:pt idx="2">
                  <c:v>T0.3 Coordination et comptes rendus</c:v>
                </c:pt>
                <c:pt idx="3">
                  <c:v>T0.4 Participation des équipiers aux rencontres</c:v>
                </c:pt>
                <c:pt idx="4">
                  <c:v>T1.1 Installation et configuration de Proxmox V</c:v>
                </c:pt>
                <c:pt idx="5">
                  <c:v>T1.2 Réseau physique et configuration des VLAN</c:v>
                </c:pt>
                <c:pt idx="6">
                  <c:v>T1.3 Provisionnement des VM/LXC avec Terraform</c:v>
                </c:pt>
                <c:pt idx="7">
                  <c:v>T1.4 Playbooks Ansible (automatisation centrali</c:v>
                </c:pt>
                <c:pt idx="8">
                  <c:v>T1.5 Orchestration de conteneurs avec Kubernete</c:v>
                </c:pt>
                <c:pt idx="9">
                  <c:v>T1.6 Plan d'adressage IP et segmentation VLAN</c:v>
                </c:pt>
                <c:pt idx="10">
                  <c:v>T2.1 Installation du pare-feu pfSense/OPNsense</c:v>
                </c:pt>
                <c:pt idx="11">
                  <c:v>T2.2 Configuration du VPN avec Tailscale</c:v>
                </c:pt>
                <c:pt idx="12">
                  <c:v>T2.3 Règles de pare-feu et segmentation</c:v>
                </c:pt>
                <c:pt idx="13">
                  <c:v>T2.4 Reverse proxy et HTTPS avec Caddy</c:v>
                </c:pt>
                <c:pt idx="14">
                  <c:v>T3.1 Service VoIP avec Asterisk</c:v>
                </c:pt>
                <c:pt idx="15">
                  <c:v>T3.2 Serveur de développement web (Apache, Mari</c:v>
                </c:pt>
                <c:pt idx="16">
                  <c:v>T3.3 Supervision des ressources avec Netdata</c:v>
                </c:pt>
                <c:pt idx="17">
                  <c:v>T4.1 Déploiement d'Active Directory Domain Serv</c:v>
                </c:pt>
                <c:pt idx="18">
                  <c:v>T4.2 Serveur de courriel avec hMailServer</c:v>
                </c:pt>
                <c:pt idx="19">
                  <c:v>T4.3 Gestion des tickets avec osTicket</c:v>
                </c:pt>
                <c:pt idx="20">
                  <c:v>T4.4 Sauvegardes avec Veeam Backup &amp; Replicatio</c:v>
                </c:pt>
                <c:pt idx="21">
                  <c:v>T4.5 Déploiement de Microsoft Defender for Endp</c:v>
                </c:pt>
                <c:pt idx="22">
                  <c:v>T5.1 Script d'automatisation individuel</c:v>
                </c:pt>
                <c:pt idx="23">
                  <c:v>T5.2 Script d'automatisation individuel</c:v>
                </c:pt>
                <c:pt idx="24">
                  <c:v>T5.3 Script d'automatisation individuel</c:v>
                </c:pt>
                <c:pt idx="25">
                  <c:v>T5.4 Script d'automatisation individuel</c:v>
                </c:pt>
                <c:pt idx="26">
                  <c:v>T6.1 Installation du courtier MQTT avec Mosquit</c:v>
                </c:pt>
                <c:pt idx="27">
                  <c:v>T6.2 Intégration des modules ESP32 (individuel)</c:v>
                </c:pt>
                <c:pt idx="28">
                  <c:v>T7.1 Diffusion multimédia avec Jellyfin</c:v>
                </c:pt>
                <c:pt idx="29">
                  <c:v>T7.2 Suite *arr et téléchargement (Radarr, Sona</c:v>
                </c:pt>
                <c:pt idx="30">
                  <c:v>T7.3 Tableau de bord avec Homarr</c:v>
                </c:pt>
                <c:pt idx="31">
                  <c:v>T7.4 Panneau de serveurs de jeux avec AMP</c:v>
                </c:pt>
                <c:pt idx="32">
                  <c:v>T8.1 Tests d'intégration des services</c:v>
                </c:pt>
                <c:pt idx="33">
                  <c:v>T8.2 Rédaction de la documentation technique</c:v>
                </c:pt>
                <c:pt idx="34">
                  <c:v>T8.3 Démonstrations d'état d'avancement</c:v>
                </c:pt>
                <c:pt idx="35">
                  <c:v>T8.4 Préparation de la présentation finale</c:v>
                </c:pt>
              </c:strCache>
            </c:strRef>
          </c:cat>
          <c:val>
            <c:numRef>
              <c:f>Planification!$T$4:$T$39</c:f>
              <c:numCache>
                <c:formatCode>General</c:formatCode>
                <c:ptCount val="3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D-4FAD-86B1-A963F9BE0DD5}"/>
            </c:ext>
          </c:extLst>
        </c:ser>
        <c:ser>
          <c:idx val="2"/>
          <c:order val="2"/>
          <c:tx>
            <c:strRef>
              <c:f>Planification!$U$3</c:f>
              <c:strCache>
                <c:ptCount val="1"/>
                <c:pt idx="0">
                  <c:v>Hors chemin critique</c:v>
                </c:pt>
              </c:strCache>
            </c:strRef>
          </c:tx>
          <c:spPr>
            <a:solidFill>
              <a:srgbClr val="2E75B6"/>
            </a:solidFill>
            <a:ln w="6350">
              <a:solidFill>
                <a:srgbClr val="FFFFFF"/>
              </a:solidFill>
            </a:ln>
          </c:spPr>
          <c:invertIfNegative val="0"/>
          <c:cat>
            <c:strRef>
              <c:f>Planification!$P$4:$P$39</c:f>
              <c:strCache>
                <c:ptCount val="36"/>
                <c:pt idx="0">
                  <c:v>T0.1 Rencontres hebdomadaires de suivi</c:v>
                </c:pt>
                <c:pt idx="1">
                  <c:v>T0.2 Mise à jour de l'AMDEC et du budget à jour</c:v>
                </c:pt>
                <c:pt idx="2">
                  <c:v>T0.3 Coordination et comptes rendus</c:v>
                </c:pt>
                <c:pt idx="3">
                  <c:v>T0.4 Participation des équipiers aux rencontres</c:v>
                </c:pt>
                <c:pt idx="4">
                  <c:v>T1.1 Installation et configuration de Proxmox V</c:v>
                </c:pt>
                <c:pt idx="5">
                  <c:v>T1.2 Réseau physique et configuration des VLAN</c:v>
                </c:pt>
                <c:pt idx="6">
                  <c:v>T1.3 Provisionnement des VM/LXC avec Terraform</c:v>
                </c:pt>
                <c:pt idx="7">
                  <c:v>T1.4 Playbooks Ansible (automatisation centrali</c:v>
                </c:pt>
                <c:pt idx="8">
                  <c:v>T1.5 Orchestration de conteneurs avec Kubernete</c:v>
                </c:pt>
                <c:pt idx="9">
                  <c:v>T1.6 Plan d'adressage IP et segmentation VLAN</c:v>
                </c:pt>
                <c:pt idx="10">
                  <c:v>T2.1 Installation du pare-feu pfSense/OPNsense</c:v>
                </c:pt>
                <c:pt idx="11">
                  <c:v>T2.2 Configuration du VPN avec Tailscale</c:v>
                </c:pt>
                <c:pt idx="12">
                  <c:v>T2.3 Règles de pare-feu et segmentation</c:v>
                </c:pt>
                <c:pt idx="13">
                  <c:v>T2.4 Reverse proxy et HTTPS avec Caddy</c:v>
                </c:pt>
                <c:pt idx="14">
                  <c:v>T3.1 Service VoIP avec Asterisk</c:v>
                </c:pt>
                <c:pt idx="15">
                  <c:v>T3.2 Serveur de développement web (Apache, Mari</c:v>
                </c:pt>
                <c:pt idx="16">
                  <c:v>T3.3 Supervision des ressources avec Netdata</c:v>
                </c:pt>
                <c:pt idx="17">
                  <c:v>T4.1 Déploiement d'Active Directory Domain Serv</c:v>
                </c:pt>
                <c:pt idx="18">
                  <c:v>T4.2 Serveur de courriel avec hMailServer</c:v>
                </c:pt>
                <c:pt idx="19">
                  <c:v>T4.3 Gestion des tickets avec osTicket</c:v>
                </c:pt>
                <c:pt idx="20">
                  <c:v>T4.4 Sauvegardes avec Veeam Backup &amp; Replicatio</c:v>
                </c:pt>
                <c:pt idx="21">
                  <c:v>T4.5 Déploiement de Microsoft Defender for Endp</c:v>
                </c:pt>
                <c:pt idx="22">
                  <c:v>T5.1 Script d'automatisation individuel</c:v>
                </c:pt>
                <c:pt idx="23">
                  <c:v>T5.2 Script d'automatisation individuel</c:v>
                </c:pt>
                <c:pt idx="24">
                  <c:v>T5.3 Script d'automatisation individuel</c:v>
                </c:pt>
                <c:pt idx="25">
                  <c:v>T5.4 Script d'automatisation individuel</c:v>
                </c:pt>
                <c:pt idx="26">
                  <c:v>T6.1 Installation du courtier MQTT avec Mosquit</c:v>
                </c:pt>
                <c:pt idx="27">
                  <c:v>T6.2 Intégration des modules ESP32 (individuel)</c:v>
                </c:pt>
                <c:pt idx="28">
                  <c:v>T7.1 Diffusion multimédia avec Jellyfin</c:v>
                </c:pt>
                <c:pt idx="29">
                  <c:v>T7.2 Suite *arr et téléchargement (Radarr, Sona</c:v>
                </c:pt>
                <c:pt idx="30">
                  <c:v>T7.3 Tableau de bord avec Homarr</c:v>
                </c:pt>
                <c:pt idx="31">
                  <c:v>T7.4 Panneau de serveurs de jeux avec AMP</c:v>
                </c:pt>
                <c:pt idx="32">
                  <c:v>T8.1 Tests d'intégration des services</c:v>
                </c:pt>
                <c:pt idx="33">
                  <c:v>T8.2 Rédaction de la documentation technique</c:v>
                </c:pt>
                <c:pt idx="34">
                  <c:v>T8.3 Démonstrations d'état d'avancement</c:v>
                </c:pt>
                <c:pt idx="35">
                  <c:v>T8.4 Préparation de la présentation finale</c:v>
                </c:pt>
              </c:strCache>
            </c:strRef>
          </c:cat>
          <c:val>
            <c:numRef>
              <c:f>Planification!$U$4:$U$39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FD-4FAD-86B1-A963F9BE0DD5}"/>
            </c:ext>
          </c:extLst>
        </c:ser>
        <c:ser>
          <c:idx val="3"/>
          <c:order val="3"/>
          <c:tx>
            <c:strRef>
              <c:f>Planification!$V$3</c:f>
              <c:strCache>
                <c:ptCount val="1"/>
                <c:pt idx="0">
                  <c:v>Chemin critique</c:v>
                </c:pt>
              </c:strCache>
            </c:strRef>
          </c:tx>
          <c:spPr>
            <a:solidFill>
              <a:srgbClr val="C00000"/>
            </a:solidFill>
            <a:ln w="6350">
              <a:solidFill>
                <a:srgbClr val="FFFFFF"/>
              </a:solidFill>
            </a:ln>
          </c:spPr>
          <c:invertIfNegative val="0"/>
          <c:cat>
            <c:strRef>
              <c:f>Planification!$P$4:$P$39</c:f>
              <c:strCache>
                <c:ptCount val="36"/>
                <c:pt idx="0">
                  <c:v>T0.1 Rencontres hebdomadaires de suivi</c:v>
                </c:pt>
                <c:pt idx="1">
                  <c:v>T0.2 Mise à jour de l'AMDEC et du budget à jour</c:v>
                </c:pt>
                <c:pt idx="2">
                  <c:v>T0.3 Coordination et comptes rendus</c:v>
                </c:pt>
                <c:pt idx="3">
                  <c:v>T0.4 Participation des équipiers aux rencontres</c:v>
                </c:pt>
                <c:pt idx="4">
                  <c:v>T1.1 Installation et configuration de Proxmox V</c:v>
                </c:pt>
                <c:pt idx="5">
                  <c:v>T1.2 Réseau physique et configuration des VLAN</c:v>
                </c:pt>
                <c:pt idx="6">
                  <c:v>T1.3 Provisionnement des VM/LXC avec Terraform</c:v>
                </c:pt>
                <c:pt idx="7">
                  <c:v>T1.4 Playbooks Ansible (automatisation centrali</c:v>
                </c:pt>
                <c:pt idx="8">
                  <c:v>T1.5 Orchestration de conteneurs avec Kubernete</c:v>
                </c:pt>
                <c:pt idx="9">
                  <c:v>T1.6 Plan d'adressage IP et segmentation VLAN</c:v>
                </c:pt>
                <c:pt idx="10">
                  <c:v>T2.1 Installation du pare-feu pfSense/OPNsense</c:v>
                </c:pt>
                <c:pt idx="11">
                  <c:v>T2.2 Configuration du VPN avec Tailscale</c:v>
                </c:pt>
                <c:pt idx="12">
                  <c:v>T2.3 Règles de pare-feu et segmentation</c:v>
                </c:pt>
                <c:pt idx="13">
                  <c:v>T2.4 Reverse proxy et HTTPS avec Caddy</c:v>
                </c:pt>
                <c:pt idx="14">
                  <c:v>T3.1 Service VoIP avec Asterisk</c:v>
                </c:pt>
                <c:pt idx="15">
                  <c:v>T3.2 Serveur de développement web (Apache, Mari</c:v>
                </c:pt>
                <c:pt idx="16">
                  <c:v>T3.3 Supervision des ressources avec Netdata</c:v>
                </c:pt>
                <c:pt idx="17">
                  <c:v>T4.1 Déploiement d'Active Directory Domain Serv</c:v>
                </c:pt>
                <c:pt idx="18">
                  <c:v>T4.2 Serveur de courriel avec hMailServer</c:v>
                </c:pt>
                <c:pt idx="19">
                  <c:v>T4.3 Gestion des tickets avec osTicket</c:v>
                </c:pt>
                <c:pt idx="20">
                  <c:v>T4.4 Sauvegardes avec Veeam Backup &amp; Replicatio</c:v>
                </c:pt>
                <c:pt idx="21">
                  <c:v>T4.5 Déploiement de Microsoft Defender for Endp</c:v>
                </c:pt>
                <c:pt idx="22">
                  <c:v>T5.1 Script d'automatisation individuel</c:v>
                </c:pt>
                <c:pt idx="23">
                  <c:v>T5.2 Script d'automatisation individuel</c:v>
                </c:pt>
                <c:pt idx="24">
                  <c:v>T5.3 Script d'automatisation individuel</c:v>
                </c:pt>
                <c:pt idx="25">
                  <c:v>T5.4 Script d'automatisation individuel</c:v>
                </c:pt>
                <c:pt idx="26">
                  <c:v>T6.1 Installation du courtier MQTT avec Mosquit</c:v>
                </c:pt>
                <c:pt idx="27">
                  <c:v>T6.2 Intégration des modules ESP32 (individuel)</c:v>
                </c:pt>
                <c:pt idx="28">
                  <c:v>T7.1 Diffusion multimédia avec Jellyfin</c:v>
                </c:pt>
                <c:pt idx="29">
                  <c:v>T7.2 Suite *arr et téléchargement (Radarr, Sona</c:v>
                </c:pt>
                <c:pt idx="30">
                  <c:v>T7.3 Tableau de bord avec Homarr</c:v>
                </c:pt>
                <c:pt idx="31">
                  <c:v>T7.4 Panneau de serveurs de jeux avec AMP</c:v>
                </c:pt>
                <c:pt idx="32">
                  <c:v>T8.1 Tests d'intégration des services</c:v>
                </c:pt>
                <c:pt idx="33">
                  <c:v>T8.2 Rédaction de la documentation technique</c:v>
                </c:pt>
                <c:pt idx="34">
                  <c:v>T8.3 Démonstrations d'état d'avancement</c:v>
                </c:pt>
                <c:pt idx="35">
                  <c:v>T8.4 Préparation de la présentation finale</c:v>
                </c:pt>
              </c:strCache>
            </c:strRef>
          </c:cat>
          <c:val>
            <c:numRef>
              <c:f>Planification!$V$4:$V$39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FD-4FAD-86B1-A963F9BE0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50680106"/>
        <c:axId val="56668686"/>
      </c:barChart>
      <c:catAx>
        <c:axId val="5068010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spPr>
          <a:ln w="9525">
            <a:solidFill>
              <a:srgbClr val="878787"/>
            </a:solidFill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latin typeface="Arial"/>
              </a:defRPr>
            </a:pPr>
            <a:endParaRPr lang="fr-CA"/>
          </a:p>
        </c:txPr>
        <c:crossAx val="56668686"/>
        <c:crosses val="autoZero"/>
        <c:auto val="1"/>
        <c:lblAlgn val="ctr"/>
        <c:lblOffset val="100"/>
        <c:tickLblSkip val="1"/>
        <c:noMultiLvlLbl val="0"/>
      </c:catAx>
      <c:valAx>
        <c:axId val="56668686"/>
        <c:scaling>
          <c:orientation val="minMax"/>
          <c:max val="16"/>
          <c:min val="6"/>
        </c:scaling>
        <c:delete val="0"/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fr-CA" sz="900" b="0">
                    <a:solidFill>
                      <a:srgbClr val="000000"/>
                    </a:solidFill>
                    <a:latin typeface="Arial"/>
                  </a:rPr>
                  <a:t>Semaine d'implantation (début de la semaine ; S6 = lundi 28 septembre 2026)</a:t>
                </a:r>
              </a:p>
            </c:rich>
          </c:tx>
          <c:overlay val="0"/>
        </c:title>
        <c:numFmt formatCode="&quot;S&quot;0" sourceLinked="0"/>
        <c:majorTickMark val="out"/>
        <c:minorTickMark val="none"/>
        <c:tickLblPos val="nextTo"/>
        <c:spPr>
          <a:ln w="9525">
            <a:solidFill>
              <a:srgbClr val="878787"/>
            </a:solidFill>
          </a:ln>
        </c:spPr>
        <c:txPr>
          <a:bodyPr/>
          <a:lstStyle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endParaRPr lang="fr-CA"/>
          </a:p>
        </c:txPr>
        <c:crossAx val="50680106"/>
        <c:crosses val="max"/>
        <c:crossBetween val="between"/>
        <c:majorUnit val="1"/>
      </c:valAx>
      <c:spPr>
        <a:noFill/>
      </c:spPr>
    </c:plotArea>
    <c:legend>
      <c:legendPos val="b"/>
      <c:legendEntry>
        <c:idx val="0"/>
        <c:delete val="1"/>
      </c:legendEntry>
      <c:overlay val="0"/>
      <c:txPr>
        <a:bodyPr/>
        <a:lstStyle/>
        <a:p>
          <a:pPr>
            <a:defRPr sz="900" b="0">
              <a:solidFill>
                <a:srgbClr val="000000"/>
              </a:solidFill>
              <a:latin typeface="Arial"/>
            </a:defRPr>
          </a:pPr>
          <a:endParaRPr lang="fr-CA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63720</xdr:rowOff>
    </xdr:from>
    <xdr:to>
      <xdr:col>7</xdr:col>
      <xdr:colOff>0</xdr:colOff>
      <xdr:row>79</xdr:row>
      <xdr:rowOff>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63720</xdr:rowOff>
    </xdr:from>
    <xdr:to>
      <xdr:col>9</xdr:col>
      <xdr:colOff>255960</xdr:colOff>
      <xdr:row>31</xdr:row>
      <xdr:rowOff>85680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31</xdr:row>
      <xdr:rowOff>63720</xdr:rowOff>
    </xdr:from>
    <xdr:to>
      <xdr:col>13</xdr:col>
      <xdr:colOff>0</xdr:colOff>
      <xdr:row>83</xdr:row>
      <xdr:rowOff>64800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6"/>
  <sheetViews>
    <sheetView showGridLines="0" zoomScaleNormal="100" workbookViewId="0">
      <selection activeCell="A12" sqref="A12"/>
    </sheetView>
  </sheetViews>
  <sheetFormatPr defaultColWidth="8.7109375" defaultRowHeight="14.45"/>
  <cols>
    <col min="1" max="1" width="40" customWidth="1"/>
    <col min="2" max="2" width="16" customWidth="1"/>
  </cols>
  <sheetData>
    <row r="1" spans="1:2" ht="17.45">
      <c r="A1" s="1" t="s">
        <v>0</v>
      </c>
    </row>
    <row r="2" spans="1:2">
      <c r="A2" s="2" t="s">
        <v>1</v>
      </c>
    </row>
    <row r="4" spans="1:2">
      <c r="A4" s="3" t="s">
        <v>2</v>
      </c>
      <c r="B4" s="4">
        <v>25</v>
      </c>
    </row>
    <row r="5" spans="1:2">
      <c r="A5" s="3" t="s">
        <v>3</v>
      </c>
      <c r="B5" s="4">
        <v>30</v>
      </c>
    </row>
    <row r="6" spans="1:2">
      <c r="A6" s="3" t="s">
        <v>4</v>
      </c>
      <c r="B6" s="4">
        <v>45</v>
      </c>
    </row>
    <row r="7" spans="1:2">
      <c r="A7" s="3" t="s">
        <v>5</v>
      </c>
      <c r="B7" s="5">
        <v>0.1</v>
      </c>
    </row>
    <row r="9" spans="1:2">
      <c r="A9" s="6" t="s">
        <v>6</v>
      </c>
    </row>
    <row r="10" spans="1:2">
      <c r="A10" s="3" t="s">
        <v>7</v>
      </c>
      <c r="B10" s="4">
        <v>150</v>
      </c>
    </row>
    <row r="11" spans="1:2">
      <c r="A11" s="3" t="s">
        <v>8</v>
      </c>
      <c r="B11" s="4">
        <v>120</v>
      </c>
    </row>
    <row r="12" spans="1:2">
      <c r="A12" s="3" t="s">
        <v>9</v>
      </c>
      <c r="B12" s="4">
        <v>140</v>
      </c>
    </row>
    <row r="13" spans="1:2">
      <c r="A13" s="3" t="s">
        <v>10</v>
      </c>
      <c r="B13" s="4">
        <v>90</v>
      </c>
    </row>
    <row r="14" spans="1:2">
      <c r="A14" s="7" t="s">
        <v>11</v>
      </c>
      <c r="B14" s="8">
        <f>SUM(B10:B13)</f>
        <v>500</v>
      </c>
    </row>
    <row r="16" spans="1:2">
      <c r="A16" s="3" t="s">
        <v>12</v>
      </c>
      <c r="B16" s="39">
        <v>46293</v>
      </c>
    </row>
  </sheetData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showGridLines="0" tabSelected="1" topLeftCell="A12" zoomScaleNormal="100" workbookViewId="0">
      <selection activeCell="H12" sqref="H12"/>
    </sheetView>
  </sheetViews>
  <sheetFormatPr defaultColWidth="8.7109375" defaultRowHeight="14.45"/>
  <cols>
    <col min="1" max="1" width="7" customWidth="1"/>
    <col min="2" max="2" width="42" customWidth="1"/>
    <col min="3" max="3" width="8" customWidth="1"/>
    <col min="4" max="4" width="15" customWidth="1"/>
    <col min="5" max="5" width="13" customWidth="1"/>
    <col min="6" max="6" width="10" customWidth="1"/>
    <col min="7" max="9" width="12" customWidth="1"/>
    <col min="10" max="11" width="10" customWidth="1"/>
  </cols>
  <sheetData>
    <row r="1" spans="1:11" ht="16.899999999999999">
      <c r="A1" s="9" t="s">
        <v>13</v>
      </c>
    </row>
    <row r="2" spans="1:11">
      <c r="A2" s="2" t="s">
        <v>14</v>
      </c>
    </row>
    <row r="3" spans="1:11" ht="26.45">
      <c r="A3" s="10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</row>
    <row r="4" spans="1:11">
      <c r="A4" s="11" t="s">
        <v>26</v>
      </c>
      <c r="B4" s="3" t="s">
        <v>27</v>
      </c>
      <c r="C4" s="11" t="s">
        <v>28</v>
      </c>
      <c r="D4" s="12" t="s">
        <v>29</v>
      </c>
      <c r="E4" s="11" t="s">
        <v>30</v>
      </c>
      <c r="F4" s="13">
        <v>20</v>
      </c>
      <c r="G4" s="40">
        <f>Parametres!$B$16+7*(J4-6)</f>
        <v>46293</v>
      </c>
      <c r="H4" s="40">
        <f>Parametres!$B$16+7*(K4-6)+4</f>
        <v>46360</v>
      </c>
      <c r="I4" s="14">
        <f>IF(E4="Gestion",F4*Parametres!$B$5,F4*Parametres!$B$4)</f>
        <v>600</v>
      </c>
      <c r="J4" s="31">
        <v>6</v>
      </c>
      <c r="K4" s="31">
        <v>15</v>
      </c>
    </row>
    <row r="5" spans="1:11">
      <c r="A5" s="11" t="s">
        <v>31</v>
      </c>
      <c r="B5" s="3" t="s">
        <v>32</v>
      </c>
      <c r="C5" s="11" t="s">
        <v>28</v>
      </c>
      <c r="D5" s="12" t="s">
        <v>29</v>
      </c>
      <c r="E5" s="11" t="s">
        <v>30</v>
      </c>
      <c r="F5" s="13">
        <v>10</v>
      </c>
      <c r="G5" s="40">
        <f>Parametres!$B$16+7*(J5-6)</f>
        <v>46293</v>
      </c>
      <c r="H5" s="40">
        <f>Parametres!$B$16+7*(K5-6)+4</f>
        <v>46360</v>
      </c>
      <c r="I5" s="14">
        <f>IF(E5="Gestion",F5*Parametres!$B$5,F5*Parametres!$B$4)</f>
        <v>300</v>
      </c>
      <c r="J5" s="31">
        <v>6</v>
      </c>
      <c r="K5" s="31">
        <v>15</v>
      </c>
    </row>
    <row r="6" spans="1:11">
      <c r="A6" s="11" t="s">
        <v>33</v>
      </c>
      <c r="B6" s="3" t="s">
        <v>34</v>
      </c>
      <c r="C6" s="11" t="s">
        <v>28</v>
      </c>
      <c r="D6" s="12" t="s">
        <v>29</v>
      </c>
      <c r="E6" s="11" t="s">
        <v>30</v>
      </c>
      <c r="F6" s="13">
        <v>10</v>
      </c>
      <c r="G6" s="40">
        <f>Parametres!$B$16+7*(J6-6)</f>
        <v>46293</v>
      </c>
      <c r="H6" s="40">
        <f>Parametres!$B$16+7*(K6-6)+4</f>
        <v>46360</v>
      </c>
      <c r="I6" s="14">
        <f>IF(E6="Gestion",F6*Parametres!$B$5,F6*Parametres!$B$4)</f>
        <v>300</v>
      </c>
      <c r="J6" s="31">
        <v>6</v>
      </c>
      <c r="K6" s="31">
        <v>15</v>
      </c>
    </row>
    <row r="7" spans="1:11" ht="26.45">
      <c r="A7" s="11" t="s">
        <v>35</v>
      </c>
      <c r="B7" s="3" t="s">
        <v>36</v>
      </c>
      <c r="C7" s="11" t="s">
        <v>28</v>
      </c>
      <c r="D7" s="12" t="s">
        <v>37</v>
      </c>
      <c r="E7" s="11" t="s">
        <v>38</v>
      </c>
      <c r="F7" s="13">
        <v>30</v>
      </c>
      <c r="G7" s="40">
        <f>Parametres!$B$16+7*(J7-6)</f>
        <v>46293</v>
      </c>
      <c r="H7" s="40">
        <f>Parametres!$B$16+7*(K7-6)+4</f>
        <v>46360</v>
      </c>
      <c r="I7" s="14">
        <f>IF(E7="Gestion",F7*Parametres!$B$5,F7*Parametres!$B$4)</f>
        <v>750</v>
      </c>
      <c r="J7" s="31">
        <v>6</v>
      </c>
      <c r="K7" s="31">
        <v>15</v>
      </c>
    </row>
    <row r="8" spans="1:11">
      <c r="A8" s="11" t="s">
        <v>39</v>
      </c>
      <c r="B8" s="3" t="s">
        <v>40</v>
      </c>
      <c r="C8" s="11" t="s">
        <v>41</v>
      </c>
      <c r="D8" s="12" t="s">
        <v>42</v>
      </c>
      <c r="E8" s="11" t="s">
        <v>38</v>
      </c>
      <c r="F8" s="13">
        <v>8</v>
      </c>
      <c r="G8" s="40">
        <f>Parametres!$B$16+7*(J8-6)</f>
        <v>46293</v>
      </c>
      <c r="H8" s="40">
        <f>Parametres!$B$16+7*(K8-6)+4</f>
        <v>46297</v>
      </c>
      <c r="I8" s="14">
        <f>IF(E8="Gestion",F8*Parametres!$B$5,F8*Parametres!$B$4)</f>
        <v>200</v>
      </c>
      <c r="J8" s="31">
        <v>6</v>
      </c>
      <c r="K8" s="31">
        <v>6</v>
      </c>
    </row>
    <row r="9" spans="1:11">
      <c r="A9" s="11" t="s">
        <v>43</v>
      </c>
      <c r="B9" s="3" t="s">
        <v>44</v>
      </c>
      <c r="C9" s="11" t="s">
        <v>41</v>
      </c>
      <c r="D9" s="12" t="s">
        <v>42</v>
      </c>
      <c r="E9" s="11" t="s">
        <v>38</v>
      </c>
      <c r="F9" s="13">
        <v>8</v>
      </c>
      <c r="G9" s="40">
        <f>Parametres!$B$16+7*(J9-6)</f>
        <v>46293</v>
      </c>
      <c r="H9" s="40">
        <f>Parametres!$B$16+7*(K9-6)+4</f>
        <v>46304</v>
      </c>
      <c r="I9" s="14">
        <f>IF(E9="Gestion",F9*Parametres!$B$5,F9*Parametres!$B$4)</f>
        <v>200</v>
      </c>
      <c r="J9" s="31">
        <v>6</v>
      </c>
      <c r="K9" s="31">
        <v>7</v>
      </c>
    </row>
    <row r="10" spans="1:11">
      <c r="A10" s="11" t="s">
        <v>45</v>
      </c>
      <c r="B10" s="3" t="s">
        <v>46</v>
      </c>
      <c r="C10" s="11" t="s">
        <v>41</v>
      </c>
      <c r="D10" s="12" t="s">
        <v>47</v>
      </c>
      <c r="E10" s="11" t="s">
        <v>38</v>
      </c>
      <c r="F10" s="13">
        <v>7</v>
      </c>
      <c r="G10" s="40">
        <f>Parametres!$B$16+7*(J10-6)</f>
        <v>46300</v>
      </c>
      <c r="H10" s="40">
        <f>Parametres!$B$16+7*(K10-6)+4</f>
        <v>46304</v>
      </c>
      <c r="I10" s="14">
        <f>IF(E10="Gestion",F10*Parametres!$B$5,F10*Parametres!$B$4)</f>
        <v>175</v>
      </c>
      <c r="J10" s="31">
        <v>7</v>
      </c>
      <c r="K10" s="31">
        <v>7</v>
      </c>
    </row>
    <row r="11" spans="1:11">
      <c r="A11" s="11" t="s">
        <v>48</v>
      </c>
      <c r="B11" s="3" t="s">
        <v>49</v>
      </c>
      <c r="C11" s="11" t="s">
        <v>41</v>
      </c>
      <c r="D11" s="12" t="s">
        <v>50</v>
      </c>
      <c r="E11" s="11" t="s">
        <v>38</v>
      </c>
      <c r="F11" s="13">
        <v>8</v>
      </c>
      <c r="G11" s="40">
        <f>Parametres!$B$16+7*(J13-6)</f>
        <v>46300</v>
      </c>
      <c r="H11" s="40">
        <f>Parametres!$B$16+7*(K11-6)+4</f>
        <v>46311</v>
      </c>
      <c r="I11" s="14">
        <f>IF(E11="Gestion",F11*Parametres!$B$5,F11*Parametres!$B$4)</f>
        <v>200</v>
      </c>
      <c r="J11" s="31">
        <v>7</v>
      </c>
      <c r="K11" s="31">
        <v>8</v>
      </c>
    </row>
    <row r="12" spans="1:11" ht="26.45">
      <c r="A12" s="11" t="s">
        <v>51</v>
      </c>
      <c r="B12" s="3" t="s">
        <v>52</v>
      </c>
      <c r="C12" s="11" t="s">
        <v>41</v>
      </c>
      <c r="D12" s="12" t="s">
        <v>47</v>
      </c>
      <c r="E12" s="11" t="s">
        <v>38</v>
      </c>
      <c r="F12" s="13">
        <v>30</v>
      </c>
      <c r="G12" s="40">
        <f>Parametres!$B$16+7*(J13-6)</f>
        <v>46300</v>
      </c>
      <c r="H12" s="40">
        <f>Parametres!$B$16+7*(K12-6)+4</f>
        <v>46346</v>
      </c>
      <c r="I12" s="14">
        <f>IF(E12="Gestion",F12*Parametres!$B$5,F12*Parametres!$B$4)</f>
        <v>750</v>
      </c>
      <c r="J12" s="31">
        <v>7</v>
      </c>
      <c r="K12" s="31">
        <v>13</v>
      </c>
    </row>
    <row r="13" spans="1:11">
      <c r="A13" s="11" t="s">
        <v>53</v>
      </c>
      <c r="B13" s="3" t="s">
        <v>54</v>
      </c>
      <c r="C13" s="11" t="s">
        <v>41</v>
      </c>
      <c r="D13" s="12" t="s">
        <v>50</v>
      </c>
      <c r="E13" s="11" t="s">
        <v>38</v>
      </c>
      <c r="F13" s="13">
        <v>6</v>
      </c>
      <c r="G13" s="40">
        <f>Parametres!$B$16+7*(J13-6)</f>
        <v>46300</v>
      </c>
      <c r="H13" s="40">
        <f>Parametres!$B$16+7*(K13-6)+4</f>
        <v>46304</v>
      </c>
      <c r="I13" s="14">
        <f>IF(E13="Gestion",F13*Parametres!$B$5,F13*Parametres!$B$4)</f>
        <v>150</v>
      </c>
      <c r="J13" s="31">
        <v>7</v>
      </c>
      <c r="K13" s="31">
        <v>7</v>
      </c>
    </row>
    <row r="14" spans="1:11">
      <c r="A14" s="11" t="s">
        <v>55</v>
      </c>
      <c r="B14" s="3" t="s">
        <v>56</v>
      </c>
      <c r="C14" s="11" t="s">
        <v>57</v>
      </c>
      <c r="D14" s="12" t="s">
        <v>50</v>
      </c>
      <c r="E14" s="11" t="s">
        <v>38</v>
      </c>
      <c r="F14" s="13">
        <v>8</v>
      </c>
      <c r="G14" s="40">
        <f>Parametres!$B$16+7*(J14-6)</f>
        <v>46307</v>
      </c>
      <c r="H14" s="40">
        <f>Parametres!$B$16+7*(K14-6)+4</f>
        <v>46311</v>
      </c>
      <c r="I14" s="14">
        <f>IF(E14="Gestion",F14*Parametres!$B$5,F14*Parametres!$B$4)</f>
        <v>200</v>
      </c>
      <c r="J14" s="31">
        <v>8</v>
      </c>
      <c r="K14" s="31">
        <v>8</v>
      </c>
    </row>
    <row r="15" spans="1:11">
      <c r="A15" s="11" t="s">
        <v>58</v>
      </c>
      <c r="B15" s="3" t="s">
        <v>59</v>
      </c>
      <c r="C15" s="11" t="s">
        <v>57</v>
      </c>
      <c r="D15" s="12" t="s">
        <v>42</v>
      </c>
      <c r="E15" s="11" t="s">
        <v>38</v>
      </c>
      <c r="F15" s="13">
        <v>8</v>
      </c>
      <c r="G15" s="40">
        <f>Parametres!$B$16+7*(J15-6)</f>
        <v>46307</v>
      </c>
      <c r="H15" s="40">
        <f>Parametres!$B$16+7*(K15-6)+4</f>
        <v>46318</v>
      </c>
      <c r="I15" s="14">
        <f>IF(E15="Gestion",F15*Parametres!$B$5,F15*Parametres!$B$4)</f>
        <v>200</v>
      </c>
      <c r="J15" s="31">
        <v>8</v>
      </c>
      <c r="K15" s="31">
        <v>9</v>
      </c>
    </row>
    <row r="16" spans="1:11">
      <c r="A16" s="11" t="s">
        <v>60</v>
      </c>
      <c r="B16" s="3" t="s">
        <v>61</v>
      </c>
      <c r="C16" s="11" t="s">
        <v>57</v>
      </c>
      <c r="D16" s="12" t="s">
        <v>50</v>
      </c>
      <c r="E16" s="11" t="s">
        <v>38</v>
      </c>
      <c r="F16" s="13">
        <v>6</v>
      </c>
      <c r="G16" s="40">
        <f>Parametres!$B$16+7*(J16-6)</f>
        <v>46314</v>
      </c>
      <c r="H16" s="40">
        <f>Parametres!$B$16+7*(K16-6)+4</f>
        <v>46318</v>
      </c>
      <c r="I16" s="14">
        <f>IF(E16="Gestion",F16*Parametres!$B$5,F16*Parametres!$B$4)</f>
        <v>150</v>
      </c>
      <c r="J16" s="31">
        <v>9</v>
      </c>
      <c r="K16" s="31">
        <v>9</v>
      </c>
    </row>
    <row r="17" spans="1:11">
      <c r="A17" s="11" t="s">
        <v>62</v>
      </c>
      <c r="B17" s="3" t="s">
        <v>63</v>
      </c>
      <c r="C17" s="11" t="s">
        <v>57</v>
      </c>
      <c r="D17" s="12" t="s">
        <v>42</v>
      </c>
      <c r="E17" s="11" t="s">
        <v>38</v>
      </c>
      <c r="F17" s="13">
        <v>6</v>
      </c>
      <c r="G17" s="40">
        <f>Parametres!$B$16+7*(J17-6)</f>
        <v>46314</v>
      </c>
      <c r="H17" s="40">
        <f>Parametres!$B$16+7*(K17-6)+4</f>
        <v>46318</v>
      </c>
      <c r="I17" s="14">
        <f>IF(E17="Gestion",F17*Parametres!$B$5,F17*Parametres!$B$4)</f>
        <v>150</v>
      </c>
      <c r="J17" s="31">
        <v>9</v>
      </c>
      <c r="K17" s="31">
        <v>9</v>
      </c>
    </row>
    <row r="18" spans="1:11">
      <c r="A18" s="11" t="s">
        <v>64</v>
      </c>
      <c r="B18" s="3" t="s">
        <v>65</v>
      </c>
      <c r="C18" s="11" t="s">
        <v>66</v>
      </c>
      <c r="D18" s="12" t="s">
        <v>47</v>
      </c>
      <c r="E18" s="11" t="s">
        <v>38</v>
      </c>
      <c r="F18" s="13">
        <v>5</v>
      </c>
      <c r="G18" s="40">
        <f>Parametres!$B$16+7*(J18-6)</f>
        <v>46321</v>
      </c>
      <c r="H18" s="40">
        <f>Parametres!$B$16+7*(K18-6)+4</f>
        <v>46332</v>
      </c>
      <c r="I18" s="14">
        <f>IF(E18="Gestion",F18*Parametres!$B$5,F18*Parametres!$B$4)</f>
        <v>125</v>
      </c>
      <c r="J18" s="31">
        <v>10</v>
      </c>
      <c r="K18" s="31">
        <v>11</v>
      </c>
    </row>
    <row r="19" spans="1:11" ht="26.45">
      <c r="A19" s="11" t="s">
        <v>67</v>
      </c>
      <c r="B19" s="3" t="s">
        <v>68</v>
      </c>
      <c r="C19" s="11" t="s">
        <v>66</v>
      </c>
      <c r="D19" s="12" t="s">
        <v>47</v>
      </c>
      <c r="E19" s="11" t="s">
        <v>38</v>
      </c>
      <c r="F19" s="13">
        <v>4</v>
      </c>
      <c r="G19" s="40">
        <f>Parametres!$B$16+7*(J19-6)</f>
        <v>46321</v>
      </c>
      <c r="H19" s="40">
        <f>Parametres!$B$16+7*(K19-6)+4</f>
        <v>46332</v>
      </c>
      <c r="I19" s="14">
        <f>IF(E19="Gestion",F19*Parametres!$B$5,F19*Parametres!$B$4)</f>
        <v>100</v>
      </c>
      <c r="J19" s="31">
        <v>10</v>
      </c>
      <c r="K19" s="31">
        <v>11</v>
      </c>
    </row>
    <row r="20" spans="1:11">
      <c r="A20" s="11" t="s">
        <v>69</v>
      </c>
      <c r="B20" s="3" t="s">
        <v>70</v>
      </c>
      <c r="C20" s="11" t="s">
        <v>66</v>
      </c>
      <c r="D20" s="12" t="s">
        <v>47</v>
      </c>
      <c r="E20" s="11" t="s">
        <v>38</v>
      </c>
      <c r="F20" s="13">
        <v>8</v>
      </c>
      <c r="G20" s="40">
        <f>Parametres!$B$16+7*(J20-6)</f>
        <v>46328</v>
      </c>
      <c r="H20" s="40">
        <f>Parametres!$B$16+7*(K20-6)+4</f>
        <v>46332</v>
      </c>
      <c r="I20" s="14">
        <f>IF(E20="Gestion",F20*Parametres!$B$5,F20*Parametres!$B$4)</f>
        <v>200</v>
      </c>
      <c r="J20" s="31">
        <v>11</v>
      </c>
      <c r="K20" s="31">
        <v>11</v>
      </c>
    </row>
    <row r="21" spans="1:11">
      <c r="A21" s="11" t="s">
        <v>71</v>
      </c>
      <c r="B21" s="3" t="s">
        <v>72</v>
      </c>
      <c r="C21" s="11" t="s">
        <v>73</v>
      </c>
      <c r="D21" s="12" t="s">
        <v>42</v>
      </c>
      <c r="E21" s="11" t="s">
        <v>38</v>
      </c>
      <c r="F21" s="13">
        <v>8</v>
      </c>
      <c r="G21" s="40">
        <f>Parametres!$B$16+7*(J21-6)</f>
        <v>46321</v>
      </c>
      <c r="H21" s="40">
        <f>Parametres!$B$16+7*(K21-6)+4</f>
        <v>46325</v>
      </c>
      <c r="I21" s="14">
        <f>IF(E21="Gestion",F21*Parametres!$B$5,F21*Parametres!$B$4)</f>
        <v>200</v>
      </c>
      <c r="J21" s="31">
        <v>10</v>
      </c>
      <c r="K21" s="31">
        <v>10</v>
      </c>
    </row>
    <row r="22" spans="1:11">
      <c r="A22" s="11" t="s">
        <v>74</v>
      </c>
      <c r="B22" s="3" t="s">
        <v>75</v>
      </c>
      <c r="C22" s="11" t="s">
        <v>73</v>
      </c>
      <c r="D22" s="12" t="s">
        <v>76</v>
      </c>
      <c r="E22" s="11" t="s">
        <v>38</v>
      </c>
      <c r="F22" s="13">
        <v>10</v>
      </c>
      <c r="G22" s="40">
        <f>Parametres!$B$16+7*(J22-6)</f>
        <v>46321</v>
      </c>
      <c r="H22" s="40">
        <f>Parametres!$B$16+7*(K22-6)+4</f>
        <v>46332</v>
      </c>
      <c r="I22" s="14">
        <f>IF(E22="Gestion",F22*Parametres!$B$5,F22*Parametres!$B$4)</f>
        <v>250</v>
      </c>
      <c r="J22" s="31">
        <v>10</v>
      </c>
      <c r="K22" s="31">
        <v>11</v>
      </c>
    </row>
    <row r="23" spans="1:11">
      <c r="A23" s="11" t="s">
        <v>77</v>
      </c>
      <c r="B23" s="3" t="s">
        <v>78</v>
      </c>
      <c r="C23" s="11" t="s">
        <v>73</v>
      </c>
      <c r="D23" s="12" t="s">
        <v>76</v>
      </c>
      <c r="E23" s="11" t="s">
        <v>38</v>
      </c>
      <c r="F23" s="13">
        <v>8</v>
      </c>
      <c r="G23" s="40">
        <f>Parametres!$B$16+7*(J23-6)</f>
        <v>46321</v>
      </c>
      <c r="H23" s="40">
        <f>Parametres!$B$16+7*(K23-6)+4</f>
        <v>46332</v>
      </c>
      <c r="I23" s="14">
        <f>IF(E23="Gestion",F23*Parametres!$B$5,F23*Parametres!$B$4)</f>
        <v>200</v>
      </c>
      <c r="J23" s="31">
        <v>10</v>
      </c>
      <c r="K23" s="31">
        <v>11</v>
      </c>
    </row>
    <row r="24" spans="1:11">
      <c r="A24" s="11" t="s">
        <v>79</v>
      </c>
      <c r="B24" s="3" t="s">
        <v>80</v>
      </c>
      <c r="C24" s="11" t="s">
        <v>73</v>
      </c>
      <c r="D24" s="12" t="s">
        <v>76</v>
      </c>
      <c r="E24" s="11" t="s">
        <v>38</v>
      </c>
      <c r="F24" s="13">
        <v>10</v>
      </c>
      <c r="G24" s="40">
        <f>Parametres!$B$16+7*(J24-6)</f>
        <v>46328</v>
      </c>
      <c r="H24" s="40">
        <f>Parametres!$B$16+7*(K24-6)+4</f>
        <v>46332</v>
      </c>
      <c r="I24" s="14">
        <f>IF(E24="Gestion",F24*Parametres!$B$5,F24*Parametres!$B$4)</f>
        <v>250</v>
      </c>
      <c r="J24" s="31">
        <v>11</v>
      </c>
      <c r="K24" s="31">
        <v>11</v>
      </c>
    </row>
    <row r="25" spans="1:11">
      <c r="A25" s="11" t="s">
        <v>81</v>
      </c>
      <c r="B25" s="3" t="s">
        <v>82</v>
      </c>
      <c r="C25" s="11" t="s">
        <v>73</v>
      </c>
      <c r="D25" s="12" t="s">
        <v>76</v>
      </c>
      <c r="E25" s="11" t="s">
        <v>38</v>
      </c>
      <c r="F25" s="13">
        <v>8</v>
      </c>
      <c r="G25" s="40">
        <f>Parametres!$B$16+7*(J25-6)</f>
        <v>46321</v>
      </c>
      <c r="H25" s="40">
        <f>Parametres!$B$16+7*(K25-6)+4</f>
        <v>46332</v>
      </c>
      <c r="I25" s="14">
        <f>IF(E25="Gestion",F25*Parametres!$B$5,F25*Parametres!$B$4)</f>
        <v>200</v>
      </c>
      <c r="J25" s="31">
        <v>10</v>
      </c>
      <c r="K25" s="31">
        <v>11</v>
      </c>
    </row>
    <row r="26" spans="1:11">
      <c r="A26" s="11" t="s">
        <v>83</v>
      </c>
      <c r="B26" s="3" t="s">
        <v>84</v>
      </c>
      <c r="C26" s="11" t="s">
        <v>85</v>
      </c>
      <c r="D26" s="12" t="s">
        <v>50</v>
      </c>
      <c r="E26" s="11" t="s">
        <v>38</v>
      </c>
      <c r="F26" s="13">
        <v>6</v>
      </c>
      <c r="G26" s="40">
        <f>Parametres!$B$16+7*(J26-6)</f>
        <v>46335</v>
      </c>
      <c r="H26" s="40">
        <f>Parametres!$B$16+7*(K26-6)+4</f>
        <v>46339</v>
      </c>
      <c r="I26" s="14">
        <f>IF(E26="Gestion",F26*Parametres!$B$5,F26*Parametres!$B$4)</f>
        <v>150</v>
      </c>
      <c r="J26" s="31">
        <v>12</v>
      </c>
      <c r="K26" s="31">
        <v>12</v>
      </c>
    </row>
    <row r="27" spans="1:11">
      <c r="A27" s="11" t="s">
        <v>86</v>
      </c>
      <c r="B27" s="3" t="s">
        <v>84</v>
      </c>
      <c r="C27" s="11" t="s">
        <v>85</v>
      </c>
      <c r="D27" s="12" t="s">
        <v>47</v>
      </c>
      <c r="E27" s="11" t="s">
        <v>38</v>
      </c>
      <c r="F27" s="13">
        <v>6</v>
      </c>
      <c r="G27" s="40">
        <f>Parametres!$B$16+7*(J27-6)</f>
        <v>46335</v>
      </c>
      <c r="H27" s="40">
        <f>Parametres!$B$16+7*(K27-6)+4</f>
        <v>46339</v>
      </c>
      <c r="I27" s="14">
        <f>IF(E27="Gestion",F27*Parametres!$B$5,F27*Parametres!$B$4)</f>
        <v>150</v>
      </c>
      <c r="J27" s="31">
        <v>12</v>
      </c>
      <c r="K27" s="31">
        <v>12</v>
      </c>
    </row>
    <row r="28" spans="1:11">
      <c r="A28" s="11" t="s">
        <v>87</v>
      </c>
      <c r="B28" s="3" t="s">
        <v>84</v>
      </c>
      <c r="C28" s="11" t="s">
        <v>85</v>
      </c>
      <c r="D28" s="12" t="s">
        <v>76</v>
      </c>
      <c r="E28" s="11" t="s">
        <v>38</v>
      </c>
      <c r="F28" s="13">
        <v>6</v>
      </c>
      <c r="G28" s="40">
        <f>Parametres!$B$16+7*(J28-6)</f>
        <v>46335</v>
      </c>
      <c r="H28" s="40">
        <f>Parametres!$B$16+7*(K28-6)+4</f>
        <v>46339</v>
      </c>
      <c r="I28" s="14">
        <f>IF(E28="Gestion",F28*Parametres!$B$5,F28*Parametres!$B$4)</f>
        <v>150</v>
      </c>
      <c r="J28" s="31">
        <v>12</v>
      </c>
      <c r="K28" s="31">
        <v>12</v>
      </c>
    </row>
    <row r="29" spans="1:11">
      <c r="A29" s="11" t="s">
        <v>88</v>
      </c>
      <c r="B29" s="3" t="s">
        <v>84</v>
      </c>
      <c r="C29" s="11" t="s">
        <v>85</v>
      </c>
      <c r="D29" s="12" t="s">
        <v>42</v>
      </c>
      <c r="E29" s="11" t="s">
        <v>38</v>
      </c>
      <c r="F29" s="13">
        <v>6</v>
      </c>
      <c r="G29" s="40">
        <f>Parametres!$B$16+7*(J29-6)</f>
        <v>46335</v>
      </c>
      <c r="H29" s="40">
        <f>Parametres!$B$16+7*(K29-6)+4</f>
        <v>46339</v>
      </c>
      <c r="I29" s="14">
        <f>IF(E29="Gestion",F29*Parametres!$B$5,F29*Parametres!$B$4)</f>
        <v>150</v>
      </c>
      <c r="J29" s="31">
        <v>12</v>
      </c>
      <c r="K29" s="31">
        <v>12</v>
      </c>
    </row>
    <row r="30" spans="1:11">
      <c r="A30" s="11" t="s">
        <v>89</v>
      </c>
      <c r="B30" s="3" t="s">
        <v>90</v>
      </c>
      <c r="C30" s="11" t="s">
        <v>91</v>
      </c>
      <c r="D30" s="12" t="s">
        <v>50</v>
      </c>
      <c r="E30" s="11" t="s">
        <v>38</v>
      </c>
      <c r="F30" s="13">
        <v>6</v>
      </c>
      <c r="G30" s="40">
        <f>Parametres!$B$16+7*(J30-6)</f>
        <v>46321</v>
      </c>
      <c r="H30" s="40">
        <f>Parametres!$B$16+7*(K30-6)+4</f>
        <v>46325</v>
      </c>
      <c r="I30" s="14">
        <f>IF(E30="Gestion",F30*Parametres!$B$5,F30*Parametres!$B$4)</f>
        <v>150</v>
      </c>
      <c r="J30" s="31">
        <v>10</v>
      </c>
      <c r="K30" s="31">
        <v>10</v>
      </c>
    </row>
    <row r="31" spans="1:11">
      <c r="A31" s="11" t="s">
        <v>92</v>
      </c>
      <c r="B31" s="3" t="s">
        <v>93</v>
      </c>
      <c r="C31" s="11" t="s">
        <v>91</v>
      </c>
      <c r="D31" s="12" t="s">
        <v>37</v>
      </c>
      <c r="E31" s="11" t="s">
        <v>38</v>
      </c>
      <c r="F31" s="13">
        <v>20</v>
      </c>
      <c r="G31" s="40">
        <f>Parametres!$B$16+7*(J31-6)</f>
        <v>46321</v>
      </c>
      <c r="H31" s="40">
        <f>Parametres!$B$16+7*(K31-6)+4</f>
        <v>46332</v>
      </c>
      <c r="I31" s="14">
        <f>IF(E31="Gestion",F31*Parametres!$B$5,F31*Parametres!$B$4)</f>
        <v>500</v>
      </c>
      <c r="J31" s="31">
        <v>10</v>
      </c>
      <c r="K31" s="31">
        <v>11</v>
      </c>
    </row>
    <row r="32" spans="1:11">
      <c r="A32" s="11" t="s">
        <v>94</v>
      </c>
      <c r="B32" s="3" t="s">
        <v>95</v>
      </c>
      <c r="C32" s="11" t="s">
        <v>96</v>
      </c>
      <c r="D32" s="12" t="s">
        <v>50</v>
      </c>
      <c r="E32" s="11" t="s">
        <v>38</v>
      </c>
      <c r="F32" s="13">
        <v>8</v>
      </c>
      <c r="G32" s="40">
        <f>Parametres!$B$16+7*(J32-6)</f>
        <v>46335</v>
      </c>
      <c r="H32" s="40">
        <f>Parametres!$B$16+7*(K32-6)+4</f>
        <v>46346</v>
      </c>
      <c r="I32" s="14">
        <f>IF(E32="Gestion",F32*Parametres!$B$5,F32*Parametres!$B$4)</f>
        <v>200</v>
      </c>
      <c r="J32" s="31">
        <v>12</v>
      </c>
      <c r="K32" s="31">
        <v>13</v>
      </c>
    </row>
    <row r="33" spans="1:11" ht="26.45">
      <c r="A33" s="11" t="s">
        <v>97</v>
      </c>
      <c r="B33" s="3" t="s">
        <v>98</v>
      </c>
      <c r="C33" s="11" t="s">
        <v>96</v>
      </c>
      <c r="D33" s="12" t="s">
        <v>42</v>
      </c>
      <c r="E33" s="11" t="s">
        <v>38</v>
      </c>
      <c r="F33" s="13">
        <v>8</v>
      </c>
      <c r="G33" s="40">
        <f>Parametres!$B$16+7*(J33-6)</f>
        <v>46342</v>
      </c>
      <c r="H33" s="40">
        <f>Parametres!$B$16+7*(K33-6)+4</f>
        <v>46346</v>
      </c>
      <c r="I33" s="14">
        <f>IF(E33="Gestion",F33*Parametres!$B$5,F33*Parametres!$B$4)</f>
        <v>200</v>
      </c>
      <c r="J33" s="31">
        <v>13</v>
      </c>
      <c r="K33" s="31">
        <v>13</v>
      </c>
    </row>
    <row r="34" spans="1:11">
      <c r="A34" s="11" t="s">
        <v>99</v>
      </c>
      <c r="B34" s="3" t="s">
        <v>100</v>
      </c>
      <c r="C34" s="11" t="s">
        <v>96</v>
      </c>
      <c r="D34" s="12" t="s">
        <v>76</v>
      </c>
      <c r="E34" s="11" t="s">
        <v>38</v>
      </c>
      <c r="F34" s="13">
        <v>8</v>
      </c>
      <c r="G34" s="40">
        <f>Parametres!$B$16+7*(J34-6)</f>
        <v>46335</v>
      </c>
      <c r="H34" s="40">
        <f>Parametres!$B$16+7*(K34-6)+4</f>
        <v>46346</v>
      </c>
      <c r="I34" s="14">
        <f>IF(E34="Gestion",F34*Parametres!$B$5,F34*Parametres!$B$4)</f>
        <v>200</v>
      </c>
      <c r="J34" s="31">
        <v>12</v>
      </c>
      <c r="K34" s="31">
        <v>13</v>
      </c>
    </row>
    <row r="35" spans="1:11">
      <c r="A35" s="11" t="s">
        <v>101</v>
      </c>
      <c r="B35" s="3" t="s">
        <v>102</v>
      </c>
      <c r="C35" s="11" t="s">
        <v>96</v>
      </c>
      <c r="D35" s="12" t="s">
        <v>42</v>
      </c>
      <c r="E35" s="11" t="s">
        <v>38</v>
      </c>
      <c r="F35" s="13">
        <v>8</v>
      </c>
      <c r="G35" s="40">
        <f>Parametres!$B$16+7*(J35-6)</f>
        <v>46335</v>
      </c>
      <c r="H35" s="40">
        <f>Parametres!$B$16+7*(K35-6)+4</f>
        <v>46346</v>
      </c>
      <c r="I35" s="14">
        <f>IF(E35="Gestion",F35*Parametres!$B$5,F35*Parametres!$B$4)</f>
        <v>200</v>
      </c>
      <c r="J35" s="31">
        <v>12</v>
      </c>
      <c r="K35" s="31">
        <v>13</v>
      </c>
    </row>
    <row r="36" spans="1:11">
      <c r="A36" s="11" t="s">
        <v>103</v>
      </c>
      <c r="B36" s="3" t="s">
        <v>104</v>
      </c>
      <c r="C36" s="11" t="s">
        <v>105</v>
      </c>
      <c r="D36" s="12" t="s">
        <v>37</v>
      </c>
      <c r="E36" s="11" t="s">
        <v>38</v>
      </c>
      <c r="F36" s="13">
        <v>12</v>
      </c>
      <c r="G36" s="40">
        <f>Parametres!$B$16+7*(J36-6)</f>
        <v>46349</v>
      </c>
      <c r="H36" s="40">
        <f>Parametres!$B$16+7*(K36-6)+4</f>
        <v>46353</v>
      </c>
      <c r="I36" s="14">
        <f>IF(E36="Gestion",F36*Parametres!$B$5,F36*Parametres!$B$4)</f>
        <v>300</v>
      </c>
      <c r="J36" s="31">
        <v>14</v>
      </c>
      <c r="K36" s="31">
        <v>14</v>
      </c>
    </row>
    <row r="37" spans="1:11">
      <c r="A37" s="11" t="s">
        <v>106</v>
      </c>
      <c r="B37" s="3" t="s">
        <v>107</v>
      </c>
      <c r="C37" s="11" t="s">
        <v>105</v>
      </c>
      <c r="D37" s="12" t="s">
        <v>37</v>
      </c>
      <c r="E37" s="11" t="s">
        <v>38</v>
      </c>
      <c r="F37" s="13">
        <v>10</v>
      </c>
      <c r="G37" s="40">
        <f>Parametres!$B$16+7*(J37-6)</f>
        <v>46349</v>
      </c>
      <c r="H37" s="40">
        <f>Parametres!$B$16+7*(K37-6)+4</f>
        <v>46360</v>
      </c>
      <c r="I37" s="14">
        <f>IF(E37="Gestion",F37*Parametres!$B$5,F37*Parametres!$B$4)</f>
        <v>250</v>
      </c>
      <c r="J37" s="31">
        <v>14</v>
      </c>
      <c r="K37" s="31">
        <v>15</v>
      </c>
    </row>
    <row r="38" spans="1:11">
      <c r="A38" s="11" t="s">
        <v>108</v>
      </c>
      <c r="B38" s="3" t="s">
        <v>109</v>
      </c>
      <c r="C38" s="11" t="s">
        <v>105</v>
      </c>
      <c r="D38" s="12" t="s">
        <v>37</v>
      </c>
      <c r="E38" s="11" t="s">
        <v>38</v>
      </c>
      <c r="F38" s="13">
        <v>8</v>
      </c>
      <c r="G38" s="40">
        <f>Parametres!$B$16+7*(J38-6)</f>
        <v>46349</v>
      </c>
      <c r="H38" s="40">
        <f>Parametres!$B$16+7*(K38-6)+4</f>
        <v>46360</v>
      </c>
      <c r="I38" s="14">
        <f>IF(E38="Gestion",F38*Parametres!$B$5,F38*Parametres!$B$4)</f>
        <v>200</v>
      </c>
      <c r="J38" s="31">
        <v>14</v>
      </c>
      <c r="K38" s="31">
        <v>15</v>
      </c>
    </row>
    <row r="39" spans="1:11">
      <c r="A39" s="11" t="s">
        <v>110</v>
      </c>
      <c r="B39" s="3" t="s">
        <v>111</v>
      </c>
      <c r="C39" s="11" t="s">
        <v>105</v>
      </c>
      <c r="D39" s="12" t="s">
        <v>37</v>
      </c>
      <c r="E39" s="11" t="s">
        <v>38</v>
      </c>
      <c r="F39" s="13">
        <v>8</v>
      </c>
      <c r="G39" s="40">
        <f>Parametres!$B$16+7*(J39-6)</f>
        <v>46356</v>
      </c>
      <c r="H39" s="40">
        <f>Parametres!$B$16+7*(K39-6)+4</f>
        <v>46360</v>
      </c>
      <c r="I39" s="14">
        <f>IF(E39="Gestion",F39*Parametres!$B$5,F39*Parametres!$B$4)</f>
        <v>200</v>
      </c>
      <c r="J39" s="31">
        <v>15</v>
      </c>
      <c r="K39" s="31">
        <v>15</v>
      </c>
    </row>
    <row r="40" spans="1:11">
      <c r="A40" s="15" t="s">
        <v>112</v>
      </c>
      <c r="B40" s="16"/>
      <c r="C40" s="16"/>
      <c r="D40" s="16"/>
      <c r="E40" s="16"/>
      <c r="F40" s="17">
        <f>SUM(F4:F39)</f>
        <v>346</v>
      </c>
      <c r="G40" s="16"/>
      <c r="H40" s="16"/>
      <c r="I40" s="18">
        <f>SUM(I4:I39)</f>
        <v>8850</v>
      </c>
    </row>
    <row r="42" spans="1:11">
      <c r="B42" s="6" t="s">
        <v>113</v>
      </c>
      <c r="D42" s="6" t="s">
        <v>114</v>
      </c>
    </row>
    <row r="43" spans="1:11">
      <c r="B43" s="12" t="s">
        <v>115</v>
      </c>
      <c r="C43" s="19">
        <f>SUMIF(E4:E39,"Réalisation",F4:F39)</f>
        <v>306</v>
      </c>
      <c r="D43" s="20" t="s">
        <v>18</v>
      </c>
      <c r="E43" s="20" t="s">
        <v>116</v>
      </c>
    </row>
    <row r="44" spans="1:11">
      <c r="B44" s="12" t="s">
        <v>117</v>
      </c>
      <c r="C44" s="19">
        <f>SUMIF(E4:E39,"Gestion",F4:F39)</f>
        <v>40</v>
      </c>
      <c r="D44" s="12" t="s">
        <v>50</v>
      </c>
      <c r="E44" s="19">
        <f>SUMIF(D4:D39,D44,F4:F39)</f>
        <v>48</v>
      </c>
    </row>
    <row r="45" spans="1:11">
      <c r="B45" s="12" t="s">
        <v>118</v>
      </c>
      <c r="C45" s="14">
        <f>SUMIF(E4:E39,"Réalisation",I4:I39)</f>
        <v>7650</v>
      </c>
      <c r="D45" s="12" t="s">
        <v>47</v>
      </c>
      <c r="E45" s="19">
        <f>SUMIF(D4:D39,D45,F4:F39)</f>
        <v>60</v>
      </c>
    </row>
    <row r="46" spans="1:11">
      <c r="B46" s="12" t="s">
        <v>119</v>
      </c>
      <c r="C46" s="14">
        <f>SUMIF(E4:E39,"Gestion",I4:I39)</f>
        <v>1200</v>
      </c>
      <c r="D46" s="12" t="s">
        <v>76</v>
      </c>
      <c r="E46" s="19">
        <f>SUMIF(D4:D39,D46,F4:F39)</f>
        <v>50</v>
      </c>
    </row>
    <row r="47" spans="1:11">
      <c r="D47" s="12" t="s">
        <v>42</v>
      </c>
      <c r="E47" s="19">
        <f>SUMIF(D4:D39,D47,F4:F39)</f>
        <v>60</v>
      </c>
    </row>
    <row r="48" spans="1:11">
      <c r="D48" s="12" t="s">
        <v>37</v>
      </c>
      <c r="E48" s="19">
        <f>SUMIF(D4:D39,D48,F4:F39)</f>
        <v>88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3"/>
  <sheetViews>
    <sheetView showGridLines="0" zoomScaleNormal="100" workbookViewId="0">
      <selection activeCell="C21" sqref="C21"/>
    </sheetView>
  </sheetViews>
  <sheetFormatPr defaultColWidth="8.7109375" defaultRowHeight="14.45"/>
  <cols>
    <col min="1" max="1" width="40" customWidth="1"/>
    <col min="2" max="5" width="16" customWidth="1"/>
  </cols>
  <sheetData>
    <row r="1" spans="1:5" ht="16.899999999999999">
      <c r="A1" s="9" t="s">
        <v>120</v>
      </c>
    </row>
    <row r="3" spans="1:5">
      <c r="A3" s="6" t="s">
        <v>121</v>
      </c>
    </row>
    <row r="4" spans="1:5">
      <c r="A4" s="10" t="s">
        <v>17</v>
      </c>
      <c r="B4" s="10" t="s">
        <v>116</v>
      </c>
      <c r="C4" s="10" t="s">
        <v>122</v>
      </c>
      <c r="D4" s="10" t="s">
        <v>123</v>
      </c>
      <c r="E4" s="10" t="s">
        <v>124</v>
      </c>
    </row>
    <row r="5" spans="1:5">
      <c r="A5" s="12" t="s">
        <v>28</v>
      </c>
      <c r="B5" s="21">
        <f>SUMIF(OTP!$C:$C,A5,OTP!$F:$F)</f>
        <v>70</v>
      </c>
      <c r="C5" s="22">
        <f>SUMIF(OTP!$C:$C,A5,OTP!$I:$I)</f>
        <v>1950</v>
      </c>
      <c r="D5" s="14">
        <v>0</v>
      </c>
      <c r="E5" s="14">
        <f t="shared" ref="E5:E13" si="0">C5+D5</f>
        <v>1950</v>
      </c>
    </row>
    <row r="6" spans="1:5">
      <c r="A6" s="12" t="s">
        <v>41</v>
      </c>
      <c r="B6" s="21">
        <f>SUMIF(OTP!$C:$C,A6,OTP!$F:$F)</f>
        <v>67</v>
      </c>
      <c r="C6" s="22">
        <f>SUMIF(OTP!$C:$C,A6,OTP!$I:$I)</f>
        <v>1675</v>
      </c>
      <c r="D6" s="14">
        <v>0</v>
      </c>
      <c r="E6" s="14">
        <f t="shared" si="0"/>
        <v>1675</v>
      </c>
    </row>
    <row r="7" spans="1:5">
      <c r="A7" s="12" t="s">
        <v>57</v>
      </c>
      <c r="B7" s="21">
        <f>SUMIF(OTP!$C:$C,A7,OTP!$F:$F)</f>
        <v>28</v>
      </c>
      <c r="C7" s="22">
        <f>SUMIF(OTP!$C:$C,A7,OTP!$I:$I)</f>
        <v>700</v>
      </c>
      <c r="D7" s="22">
        <f>Parametres!$B$10</f>
        <v>150</v>
      </c>
      <c r="E7" s="14">
        <f t="shared" si="0"/>
        <v>850</v>
      </c>
    </row>
    <row r="8" spans="1:5">
      <c r="A8" s="12" t="s">
        <v>66</v>
      </c>
      <c r="B8" s="21">
        <f>SUMIF(OTP!$C:$C,A8,OTP!$F:$F)</f>
        <v>17</v>
      </c>
      <c r="C8" s="22">
        <f>SUMIF(OTP!$C:$C,A8,OTP!$I:$I)</f>
        <v>425</v>
      </c>
      <c r="D8" s="14">
        <v>0</v>
      </c>
      <c r="E8" s="14">
        <f t="shared" si="0"/>
        <v>425</v>
      </c>
    </row>
    <row r="9" spans="1:5">
      <c r="A9" s="12" t="s">
        <v>73</v>
      </c>
      <c r="B9" s="21">
        <f>SUMIF(OTP!$C:$C,A9,OTP!$F:$F)</f>
        <v>44</v>
      </c>
      <c r="C9" s="22">
        <f>SUMIF(OTP!$C:$C,A9,OTP!$I:$I)</f>
        <v>1100</v>
      </c>
      <c r="D9" s="22">
        <f>Parametres!$B$11</f>
        <v>120</v>
      </c>
      <c r="E9" s="14">
        <f t="shared" si="0"/>
        <v>1220</v>
      </c>
    </row>
    <row r="10" spans="1:5">
      <c r="A10" s="12" t="s">
        <v>85</v>
      </c>
      <c r="B10" s="21">
        <f>SUMIF(OTP!$C:$C,A10,OTP!$F:$F)</f>
        <v>24</v>
      </c>
      <c r="C10" s="22">
        <f>SUMIF(OTP!$C:$C,A10,OTP!$I:$I)</f>
        <v>600</v>
      </c>
      <c r="D10" s="14">
        <v>0</v>
      </c>
      <c r="E10" s="14">
        <f t="shared" si="0"/>
        <v>600</v>
      </c>
    </row>
    <row r="11" spans="1:5">
      <c r="A11" s="12" t="s">
        <v>91</v>
      </c>
      <c r="B11" s="21">
        <f>SUMIF(OTP!$C:$C,A11,OTP!$F:$F)</f>
        <v>26</v>
      </c>
      <c r="C11" s="22">
        <f>SUMIF(OTP!$C:$C,A11,OTP!$I:$I)</f>
        <v>650</v>
      </c>
      <c r="D11" s="22">
        <f>Parametres!$B$12</f>
        <v>140</v>
      </c>
      <c r="E11" s="14">
        <f t="shared" si="0"/>
        <v>790</v>
      </c>
    </row>
    <row r="12" spans="1:5">
      <c r="A12" s="12" t="s">
        <v>96</v>
      </c>
      <c r="B12" s="21">
        <f>SUMIF(OTP!$C:$C,A12,OTP!$F:$F)</f>
        <v>32</v>
      </c>
      <c r="C12" s="22">
        <f>SUMIF(OTP!$C:$C,A12,OTP!$I:$I)</f>
        <v>800</v>
      </c>
      <c r="D12" s="14">
        <v>0</v>
      </c>
      <c r="E12" s="14">
        <f t="shared" si="0"/>
        <v>800</v>
      </c>
    </row>
    <row r="13" spans="1:5">
      <c r="A13" s="12" t="s">
        <v>105</v>
      </c>
      <c r="B13" s="21">
        <f>SUMIF(OTP!$C:$C,A13,OTP!$F:$F)</f>
        <v>38</v>
      </c>
      <c r="C13" s="22">
        <f>SUMIF(OTP!$C:$C,A13,OTP!$I:$I)</f>
        <v>950</v>
      </c>
      <c r="D13" s="22">
        <f>Parametres!$B$13</f>
        <v>90</v>
      </c>
      <c r="E13" s="14">
        <f t="shared" si="0"/>
        <v>1040</v>
      </c>
    </row>
    <row r="14" spans="1:5">
      <c r="A14" s="15" t="s">
        <v>125</v>
      </c>
      <c r="B14" s="17">
        <f>SUM(B5:B13)</f>
        <v>346</v>
      </c>
      <c r="C14" s="18">
        <f>SUM(C5:C13)</f>
        <v>8850</v>
      </c>
      <c r="D14" s="18">
        <f>SUM(D5:D13)</f>
        <v>500</v>
      </c>
      <c r="E14" s="18">
        <f>SUM(E5:E13)</f>
        <v>9350</v>
      </c>
    </row>
    <row r="15" spans="1:5">
      <c r="A15" s="7" t="s">
        <v>126</v>
      </c>
      <c r="D15" s="23">
        <f>Parametres!$B$7</f>
        <v>0.1</v>
      </c>
      <c r="E15" s="8">
        <f>Parametres!$B$7*(C14+D14)</f>
        <v>935</v>
      </c>
    </row>
    <row r="16" spans="1:5">
      <c r="A16" s="24" t="s">
        <v>127</v>
      </c>
      <c r="B16" s="25"/>
      <c r="C16" s="25"/>
      <c r="D16" s="25"/>
      <c r="E16" s="26">
        <f>E14+E15</f>
        <v>10285</v>
      </c>
    </row>
    <row r="18" spans="1:5">
      <c r="A18" s="6" t="s">
        <v>128</v>
      </c>
    </row>
    <row r="19" spans="1:5">
      <c r="A19" s="10" t="s">
        <v>129</v>
      </c>
      <c r="B19" s="10" t="s">
        <v>130</v>
      </c>
      <c r="C19" s="10" t="s">
        <v>131</v>
      </c>
      <c r="D19" s="10"/>
      <c r="E19" s="10"/>
    </row>
    <row r="20" spans="1:5" ht="26.45">
      <c r="A20" s="12" t="s">
        <v>132</v>
      </c>
      <c r="B20" s="3" t="s">
        <v>133</v>
      </c>
      <c r="C20" s="22">
        <f>OTP!$F$40*Parametres!$B$6</f>
        <v>15570</v>
      </c>
    </row>
    <row r="21" spans="1:5">
      <c r="A21" s="12" t="s">
        <v>134</v>
      </c>
      <c r="B21" s="12" t="s">
        <v>135</v>
      </c>
      <c r="C21" s="22">
        <f>Parametres!$B$14</f>
        <v>500</v>
      </c>
    </row>
    <row r="22" spans="1:5" ht="39.6">
      <c r="A22" s="12" t="s">
        <v>126</v>
      </c>
      <c r="B22" s="3" t="s">
        <v>136</v>
      </c>
      <c r="C22" s="14">
        <f>Parametres!$B$7*(C20+C21)</f>
        <v>1607</v>
      </c>
    </row>
    <row r="23" spans="1:5">
      <c r="A23" s="24" t="s">
        <v>137</v>
      </c>
      <c r="B23" s="25"/>
      <c r="C23" s="26">
        <f>SUM(C20:C22)</f>
        <v>17677</v>
      </c>
    </row>
    <row r="25" spans="1:5">
      <c r="A25" s="6" t="s">
        <v>138</v>
      </c>
    </row>
    <row r="26" spans="1:5">
      <c r="A26" s="10" t="s">
        <v>139</v>
      </c>
      <c r="B26" s="10" t="s">
        <v>140</v>
      </c>
      <c r="C26" s="10"/>
      <c r="D26" s="10"/>
      <c r="E26" s="10"/>
    </row>
    <row r="27" spans="1:5">
      <c r="A27" s="3" t="s">
        <v>141</v>
      </c>
      <c r="B27" s="14">
        <f>C14</f>
        <v>8850</v>
      </c>
    </row>
    <row r="28" spans="1:5">
      <c r="A28" s="27" t="s">
        <v>142</v>
      </c>
      <c r="B28" s="28">
        <f>C20</f>
        <v>15570</v>
      </c>
    </row>
    <row r="29" spans="1:5">
      <c r="A29" s="3" t="s">
        <v>143</v>
      </c>
      <c r="B29" s="14">
        <f>B28-B27</f>
        <v>6720</v>
      </c>
    </row>
    <row r="30" spans="1:5">
      <c r="A30" s="27" t="s">
        <v>144</v>
      </c>
      <c r="B30" s="28">
        <f>E16</f>
        <v>10285</v>
      </c>
    </row>
    <row r="31" spans="1:5">
      <c r="A31" s="3" t="s">
        <v>137</v>
      </c>
      <c r="B31" s="14">
        <f>C23</f>
        <v>17677</v>
      </c>
    </row>
    <row r="32" spans="1:5">
      <c r="A32" s="27" t="s">
        <v>145</v>
      </c>
      <c r="B32" s="18">
        <f>B31-B30</f>
        <v>7392</v>
      </c>
    </row>
    <row r="33" spans="1:2">
      <c r="A33" s="3" t="s">
        <v>146</v>
      </c>
      <c r="B33" s="29">
        <f>B32/B31</f>
        <v>0.41817050404480399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16"/>
  <sheetViews>
    <sheetView showGridLines="0" topLeftCell="A33" workbookViewId="0">
      <selection activeCell="B46" sqref="B46"/>
    </sheetView>
  </sheetViews>
  <sheetFormatPr defaultColWidth="8.7109375" defaultRowHeight="14.45"/>
  <cols>
    <col min="1" max="1" width="58" customWidth="1"/>
    <col min="2" max="13" width="15" customWidth="1"/>
  </cols>
  <sheetData>
    <row r="1" spans="1:13" ht="16.899999999999999">
      <c r="A1" s="9" t="s">
        <v>147</v>
      </c>
    </row>
    <row r="2" spans="1:13">
      <c r="A2" s="2" t="s">
        <v>148</v>
      </c>
    </row>
    <row r="3" spans="1:13">
      <c r="A3" s="2" t="s">
        <v>149</v>
      </c>
    </row>
    <row r="4" spans="1:13">
      <c r="A4" s="12" t="s">
        <v>150</v>
      </c>
      <c r="B4" s="31">
        <v>0</v>
      </c>
    </row>
    <row r="6" spans="1:13">
      <c r="A6" s="6" t="s">
        <v>151</v>
      </c>
    </row>
    <row r="7" spans="1:13" ht="54" customHeight="1">
      <c r="A7" s="10" t="s">
        <v>17</v>
      </c>
      <c r="B7" s="10" t="s">
        <v>152</v>
      </c>
      <c r="C7" s="10" t="s">
        <v>153</v>
      </c>
      <c r="D7" s="10" t="s">
        <v>154</v>
      </c>
      <c r="E7" s="10" t="s">
        <v>155</v>
      </c>
      <c r="F7" s="10" t="s">
        <v>156</v>
      </c>
      <c r="G7" s="10" t="s">
        <v>157</v>
      </c>
      <c r="H7" s="10" t="s">
        <v>158</v>
      </c>
      <c r="I7" s="10" t="s">
        <v>159</v>
      </c>
      <c r="J7" s="10" t="s">
        <v>160</v>
      </c>
      <c r="K7" s="10" t="s">
        <v>161</v>
      </c>
      <c r="L7" s="10" t="s">
        <v>162</v>
      </c>
      <c r="M7" s="10" t="s">
        <v>163</v>
      </c>
    </row>
    <row r="8" spans="1:13">
      <c r="A8" s="12" t="s">
        <v>28</v>
      </c>
      <c r="B8" s="22">
        <f>Budget!E5</f>
        <v>1950</v>
      </c>
      <c r="C8" s="14">
        <f t="shared" ref="C8:C16" si="0">SUMIFS($E$87:$E$116,$D$87:$D$116,$A8,$C$87:$C$116,"&gt;1")</f>
        <v>0</v>
      </c>
      <c r="D8" s="14">
        <f t="shared" ref="D8:D16" si="1">B8+C8</f>
        <v>1950</v>
      </c>
      <c r="E8" s="21">
        <f>Budget!B5</f>
        <v>70</v>
      </c>
      <c r="F8" s="34">
        <f>IF(E8=0,0,Budget!C5/E8)</f>
        <v>27.857142857142858</v>
      </c>
      <c r="G8" s="34">
        <f t="shared" ref="G8:G16" si="2">L46</f>
        <v>0</v>
      </c>
      <c r="H8" s="4">
        <v>0</v>
      </c>
      <c r="I8" s="14">
        <f t="shared" ref="I8:I16" si="3">G8*F8+H8</f>
        <v>0</v>
      </c>
      <c r="J8" s="13">
        <v>0</v>
      </c>
      <c r="K8" s="14">
        <f>(MAX(0,E8+IF(F8=0,0,C8/F8)-G8)+J8)*F8+MAX(0,Budget!D5-H8)</f>
        <v>1950</v>
      </c>
      <c r="L8" s="14">
        <f t="shared" ref="L8:L16" si="4">I8+K8</f>
        <v>1950</v>
      </c>
      <c r="M8" s="14">
        <f t="shared" ref="M8:M16" si="5">D8-L8</f>
        <v>0</v>
      </c>
    </row>
    <row r="9" spans="1:13">
      <c r="A9" s="12" t="s">
        <v>41</v>
      </c>
      <c r="B9" s="22">
        <f>Budget!E6</f>
        <v>1675</v>
      </c>
      <c r="C9" s="14">
        <f t="shared" si="0"/>
        <v>0</v>
      </c>
      <c r="D9" s="14">
        <f t="shared" si="1"/>
        <v>1675</v>
      </c>
      <c r="E9" s="21">
        <f>Budget!B6</f>
        <v>67</v>
      </c>
      <c r="F9" s="34">
        <f>IF(E9=0,0,Budget!C6/E9)</f>
        <v>25</v>
      </c>
      <c r="G9" s="34">
        <f t="shared" si="2"/>
        <v>0</v>
      </c>
      <c r="H9" s="4">
        <v>0</v>
      </c>
      <c r="I9" s="14">
        <f t="shared" si="3"/>
        <v>0</v>
      </c>
      <c r="J9" s="13">
        <v>0</v>
      </c>
      <c r="K9" s="14">
        <f>(MAX(0,E9+IF(F9=0,0,C9/F9)-G9)+J9)*F9+MAX(0,Budget!D6-H9)</f>
        <v>1675</v>
      </c>
      <c r="L9" s="14">
        <f t="shared" si="4"/>
        <v>1675</v>
      </c>
      <c r="M9" s="14">
        <f t="shared" si="5"/>
        <v>0</v>
      </c>
    </row>
    <row r="10" spans="1:13">
      <c r="A10" s="12" t="s">
        <v>57</v>
      </c>
      <c r="B10" s="22">
        <f>Budget!E7</f>
        <v>850</v>
      </c>
      <c r="C10" s="14">
        <f t="shared" si="0"/>
        <v>0</v>
      </c>
      <c r="D10" s="14">
        <f t="shared" si="1"/>
        <v>850</v>
      </c>
      <c r="E10" s="21">
        <f>Budget!B7</f>
        <v>28</v>
      </c>
      <c r="F10" s="34">
        <f>IF(E10=0,0,Budget!C7/E10)</f>
        <v>25</v>
      </c>
      <c r="G10" s="34">
        <f t="shared" si="2"/>
        <v>0</v>
      </c>
      <c r="H10" s="4">
        <v>0</v>
      </c>
      <c r="I10" s="14">
        <f t="shared" si="3"/>
        <v>0</v>
      </c>
      <c r="J10" s="13">
        <v>0</v>
      </c>
      <c r="K10" s="14">
        <f>(MAX(0,E10+IF(F10=0,0,C10/F10)-G10)+J10)*F10+MAX(0,Budget!D7-H10)</f>
        <v>850</v>
      </c>
      <c r="L10" s="14">
        <f t="shared" si="4"/>
        <v>850</v>
      </c>
      <c r="M10" s="14">
        <f t="shared" si="5"/>
        <v>0</v>
      </c>
    </row>
    <row r="11" spans="1:13">
      <c r="A11" s="12" t="s">
        <v>66</v>
      </c>
      <c r="B11" s="22">
        <f>Budget!E8</f>
        <v>425</v>
      </c>
      <c r="C11" s="14">
        <f t="shared" si="0"/>
        <v>0</v>
      </c>
      <c r="D11" s="14">
        <f t="shared" si="1"/>
        <v>425</v>
      </c>
      <c r="E11" s="21">
        <f>Budget!B8</f>
        <v>17</v>
      </c>
      <c r="F11" s="34">
        <f>IF(E11=0,0,Budget!C8/E11)</f>
        <v>25</v>
      </c>
      <c r="G11" s="34">
        <f t="shared" si="2"/>
        <v>0</v>
      </c>
      <c r="H11" s="4">
        <v>0</v>
      </c>
      <c r="I11" s="14">
        <f t="shared" si="3"/>
        <v>0</v>
      </c>
      <c r="J11" s="13">
        <v>0</v>
      </c>
      <c r="K11" s="14">
        <f>(MAX(0,E11+IF(F11=0,0,C11/F11)-G11)+J11)*F11+MAX(0,Budget!D8-H11)</f>
        <v>425</v>
      </c>
      <c r="L11" s="14">
        <f t="shared" si="4"/>
        <v>425</v>
      </c>
      <c r="M11" s="14">
        <f t="shared" si="5"/>
        <v>0</v>
      </c>
    </row>
    <row r="12" spans="1:13">
      <c r="A12" s="12" t="s">
        <v>73</v>
      </c>
      <c r="B12" s="22">
        <f>Budget!E9</f>
        <v>1220</v>
      </c>
      <c r="C12" s="14">
        <f t="shared" si="0"/>
        <v>0</v>
      </c>
      <c r="D12" s="14">
        <f t="shared" si="1"/>
        <v>1220</v>
      </c>
      <c r="E12" s="21">
        <f>Budget!B9</f>
        <v>44</v>
      </c>
      <c r="F12" s="34">
        <f>IF(E12=0,0,Budget!C9/E12)</f>
        <v>25</v>
      </c>
      <c r="G12" s="34">
        <f t="shared" si="2"/>
        <v>0</v>
      </c>
      <c r="H12" s="4">
        <v>0</v>
      </c>
      <c r="I12" s="14">
        <f t="shared" si="3"/>
        <v>0</v>
      </c>
      <c r="J12" s="13">
        <v>0</v>
      </c>
      <c r="K12" s="14">
        <f>(MAX(0,E12+IF(F12=0,0,C12/F12)-G12)+J12)*F12+MAX(0,Budget!D9-H12)</f>
        <v>1220</v>
      </c>
      <c r="L12" s="14">
        <f t="shared" si="4"/>
        <v>1220</v>
      </c>
      <c r="M12" s="14">
        <f t="shared" si="5"/>
        <v>0</v>
      </c>
    </row>
    <row r="13" spans="1:13">
      <c r="A13" s="12" t="s">
        <v>85</v>
      </c>
      <c r="B13" s="22">
        <f>Budget!E10</f>
        <v>600</v>
      </c>
      <c r="C13" s="14">
        <f t="shared" si="0"/>
        <v>0</v>
      </c>
      <c r="D13" s="14">
        <f t="shared" si="1"/>
        <v>600</v>
      </c>
      <c r="E13" s="21">
        <f>Budget!B10</f>
        <v>24</v>
      </c>
      <c r="F13" s="34">
        <f>IF(E13=0,0,Budget!C10/E13)</f>
        <v>25</v>
      </c>
      <c r="G13" s="34">
        <f t="shared" si="2"/>
        <v>0</v>
      </c>
      <c r="H13" s="4">
        <v>0</v>
      </c>
      <c r="I13" s="14">
        <f t="shared" si="3"/>
        <v>0</v>
      </c>
      <c r="J13" s="13">
        <v>0</v>
      </c>
      <c r="K13" s="14">
        <f>(MAX(0,E13+IF(F13=0,0,C13/F13)-G13)+J13)*F13+MAX(0,Budget!D10-H13)</f>
        <v>600</v>
      </c>
      <c r="L13" s="14">
        <f t="shared" si="4"/>
        <v>600</v>
      </c>
      <c r="M13" s="14">
        <f t="shared" si="5"/>
        <v>0</v>
      </c>
    </row>
    <row r="14" spans="1:13">
      <c r="A14" s="12" t="s">
        <v>91</v>
      </c>
      <c r="B14" s="22">
        <f>Budget!E11</f>
        <v>790</v>
      </c>
      <c r="C14" s="14">
        <f t="shared" si="0"/>
        <v>0</v>
      </c>
      <c r="D14" s="14">
        <f t="shared" si="1"/>
        <v>790</v>
      </c>
      <c r="E14" s="21">
        <f>Budget!B11</f>
        <v>26</v>
      </c>
      <c r="F14" s="34">
        <f>IF(E14=0,0,Budget!C11/E14)</f>
        <v>25</v>
      </c>
      <c r="G14" s="34">
        <f t="shared" si="2"/>
        <v>0</v>
      </c>
      <c r="H14" s="4">
        <v>0</v>
      </c>
      <c r="I14" s="14">
        <f t="shared" si="3"/>
        <v>0</v>
      </c>
      <c r="J14" s="13">
        <v>0</v>
      </c>
      <c r="K14" s="14">
        <f>(MAX(0,E14+IF(F14=0,0,C14/F14)-G14)+J14)*F14+MAX(0,Budget!D11-H14)</f>
        <v>790</v>
      </c>
      <c r="L14" s="14">
        <f t="shared" si="4"/>
        <v>790</v>
      </c>
      <c r="M14" s="14">
        <f t="shared" si="5"/>
        <v>0</v>
      </c>
    </row>
    <row r="15" spans="1:13">
      <c r="A15" s="12" t="s">
        <v>96</v>
      </c>
      <c r="B15" s="22">
        <f>Budget!E12</f>
        <v>800</v>
      </c>
      <c r="C15" s="14">
        <f t="shared" si="0"/>
        <v>0</v>
      </c>
      <c r="D15" s="14">
        <f t="shared" si="1"/>
        <v>800</v>
      </c>
      <c r="E15" s="21">
        <f>Budget!B12</f>
        <v>32</v>
      </c>
      <c r="F15" s="34">
        <f>IF(E15=0,0,Budget!C12/E15)</f>
        <v>25</v>
      </c>
      <c r="G15" s="34">
        <f t="shared" si="2"/>
        <v>0</v>
      </c>
      <c r="H15" s="4">
        <v>0</v>
      </c>
      <c r="I15" s="14">
        <f t="shared" si="3"/>
        <v>0</v>
      </c>
      <c r="J15" s="13">
        <v>0</v>
      </c>
      <c r="K15" s="14">
        <f>(MAX(0,E15+IF(F15=0,0,C15/F15)-G15)+J15)*F15+MAX(0,Budget!D12-H15)</f>
        <v>800</v>
      </c>
      <c r="L15" s="14">
        <f t="shared" si="4"/>
        <v>800</v>
      </c>
      <c r="M15" s="14">
        <f t="shared" si="5"/>
        <v>0</v>
      </c>
    </row>
    <row r="16" spans="1:13">
      <c r="A16" s="12" t="s">
        <v>105</v>
      </c>
      <c r="B16" s="22">
        <f>Budget!E13</f>
        <v>1040</v>
      </c>
      <c r="C16" s="14">
        <f t="shared" si="0"/>
        <v>0</v>
      </c>
      <c r="D16" s="14">
        <f t="shared" si="1"/>
        <v>1040</v>
      </c>
      <c r="E16" s="21">
        <f>Budget!B13</f>
        <v>38</v>
      </c>
      <c r="F16" s="34">
        <f>IF(E16=0,0,Budget!C13/E16)</f>
        <v>25</v>
      </c>
      <c r="G16" s="34">
        <f t="shared" si="2"/>
        <v>0</v>
      </c>
      <c r="H16" s="4">
        <v>0</v>
      </c>
      <c r="I16" s="14">
        <f t="shared" si="3"/>
        <v>0</v>
      </c>
      <c r="J16" s="13">
        <v>0</v>
      </c>
      <c r="K16" s="14">
        <f>(MAX(0,E16+IF(F16=0,0,C16/F16)-G16)+J16)*F16+MAX(0,Budget!D13-H16)</f>
        <v>1040</v>
      </c>
      <c r="L16" s="14">
        <f t="shared" si="4"/>
        <v>1040</v>
      </c>
      <c r="M16" s="14">
        <f t="shared" si="5"/>
        <v>0</v>
      </c>
    </row>
    <row r="17" spans="1:13">
      <c r="A17" s="15" t="s">
        <v>164</v>
      </c>
      <c r="B17" s="18">
        <f>SUM(B8:B16)</f>
        <v>9350</v>
      </c>
      <c r="C17" s="18">
        <f>SUM(C8:C16)</f>
        <v>0</v>
      </c>
      <c r="D17" s="18">
        <f>SUM(D8:D16)</f>
        <v>9350</v>
      </c>
      <c r="E17" s="17">
        <f>SUM(E8:E16)</f>
        <v>346</v>
      </c>
      <c r="F17" s="16"/>
      <c r="G17" s="35">
        <f t="shared" ref="G17:M17" si="6">SUM(G8:G16)</f>
        <v>0</v>
      </c>
      <c r="H17" s="18">
        <f t="shared" si="6"/>
        <v>0</v>
      </c>
      <c r="I17" s="18">
        <f t="shared" si="6"/>
        <v>0</v>
      </c>
      <c r="J17" s="17">
        <f t="shared" si="6"/>
        <v>0</v>
      </c>
      <c r="K17" s="18">
        <f t="shared" si="6"/>
        <v>9350</v>
      </c>
      <c r="L17" s="18">
        <f t="shared" si="6"/>
        <v>9350</v>
      </c>
      <c r="M17" s="18">
        <f t="shared" si="6"/>
        <v>0</v>
      </c>
    </row>
    <row r="18" spans="1:13">
      <c r="A18" s="12" t="s">
        <v>165</v>
      </c>
      <c r="B18" s="22">
        <f>Budget!E15</f>
        <v>935</v>
      </c>
      <c r="C18" s="14">
        <f>-SUMIFS($E$87:$E$116,$F$87:$F$116,"Oui",$C$87:$C$116,3)</f>
        <v>0</v>
      </c>
      <c r="D18" s="14">
        <f>B18+C18</f>
        <v>935</v>
      </c>
    </row>
    <row r="19" spans="1:13">
      <c r="A19" s="15" t="s">
        <v>166</v>
      </c>
      <c r="B19" s="18">
        <f>B17+B18</f>
        <v>10285</v>
      </c>
      <c r="C19" s="18">
        <f>C17+C18</f>
        <v>0</v>
      </c>
      <c r="D19" s="18">
        <f>D17+D18</f>
        <v>10285</v>
      </c>
    </row>
    <row r="21" spans="1:13">
      <c r="A21" s="6" t="s">
        <v>167</v>
      </c>
    </row>
    <row r="22" spans="1:13">
      <c r="A22" s="10" t="s">
        <v>139</v>
      </c>
      <c r="B22" s="10" t="s">
        <v>168</v>
      </c>
    </row>
    <row r="23" spans="1:13">
      <c r="A23" s="12" t="s">
        <v>169</v>
      </c>
      <c r="B23" s="22">
        <f>Budget!E16</f>
        <v>10285</v>
      </c>
    </row>
    <row r="24" spans="1:13">
      <c r="A24" s="12" t="s">
        <v>170</v>
      </c>
      <c r="B24" s="14">
        <f>D19</f>
        <v>10285</v>
      </c>
    </row>
    <row r="25" spans="1:13">
      <c r="A25" s="12" t="s">
        <v>171</v>
      </c>
      <c r="B25" s="14">
        <f>I17</f>
        <v>0</v>
      </c>
    </row>
    <row r="26" spans="1:13">
      <c r="A26" s="12" t="s">
        <v>172</v>
      </c>
      <c r="B26" s="14">
        <f>K17</f>
        <v>9350</v>
      </c>
    </row>
    <row r="27" spans="1:13">
      <c r="A27" s="12" t="s">
        <v>173</v>
      </c>
      <c r="B27" s="14">
        <f>L17</f>
        <v>9350</v>
      </c>
    </row>
    <row r="28" spans="1:13">
      <c r="A28" s="12" t="s">
        <v>174</v>
      </c>
      <c r="B28" s="14">
        <f>B18</f>
        <v>935</v>
      </c>
    </row>
    <row r="29" spans="1:13">
      <c r="A29" s="12" t="s">
        <v>175</v>
      </c>
      <c r="B29" s="14">
        <f>-C18</f>
        <v>0</v>
      </c>
    </row>
    <row r="30" spans="1:13">
      <c r="A30" s="12" t="s">
        <v>176</v>
      </c>
      <c r="B30" s="14">
        <f>D18</f>
        <v>935</v>
      </c>
    </row>
    <row r="31" spans="1:13">
      <c r="A31" s="12" t="s">
        <v>177</v>
      </c>
      <c r="B31" s="14">
        <f>D17-L17</f>
        <v>0</v>
      </c>
    </row>
    <row r="32" spans="1:13">
      <c r="A32" s="12" t="s">
        <v>178</v>
      </c>
      <c r="B32" s="14">
        <f>MAX(0,L17-D17-D18)</f>
        <v>0</v>
      </c>
    </row>
    <row r="33" spans="1:12">
      <c r="A33" s="12" t="s">
        <v>137</v>
      </c>
      <c r="B33" s="22">
        <f>Budget!C23</f>
        <v>17677</v>
      </c>
    </row>
    <row r="34" spans="1:12">
      <c r="A34" s="12" t="s">
        <v>179</v>
      </c>
      <c r="B34" s="14">
        <f>L17+D18</f>
        <v>10285</v>
      </c>
    </row>
    <row r="35" spans="1:12">
      <c r="A35" s="12" t="s">
        <v>180</v>
      </c>
      <c r="B35" s="22">
        <f>Budget!B32</f>
        <v>7392</v>
      </c>
    </row>
    <row r="36" spans="1:12">
      <c r="A36" s="12" t="s">
        <v>181</v>
      </c>
      <c r="B36" s="14">
        <f>B33-B34</f>
        <v>7392</v>
      </c>
    </row>
    <row r="37" spans="1:12">
      <c r="A37" s="12" t="s">
        <v>182</v>
      </c>
      <c r="B37" s="38">
        <f>IF(B33=0,0,B36/B33)</f>
        <v>0.41817050404480399</v>
      </c>
    </row>
    <row r="39" spans="1:12">
      <c r="A39" s="12" t="s">
        <v>183</v>
      </c>
      <c r="B39" s="21">
        <f>IF($B$4=0,0,IF($B$4&gt;=6,INDEX(Planification!$C$14:$L$14,1,MIN($B$4,15)-5),"Semaine invalide"))</f>
        <v>0</v>
      </c>
    </row>
    <row r="40" spans="1:12">
      <c r="A40" s="12" t="s">
        <v>157</v>
      </c>
      <c r="B40" s="34">
        <f>G17</f>
        <v>0</v>
      </c>
    </row>
    <row r="41" spans="1:12">
      <c r="A41" s="12" t="s">
        <v>184</v>
      </c>
      <c r="B41" s="34">
        <f>IF(ISNUMBER(B39),B40-B39,"s. o.")</f>
        <v>0</v>
      </c>
    </row>
    <row r="42" spans="1:12">
      <c r="A42" s="12" t="s">
        <v>185</v>
      </c>
      <c r="B42" s="38" t="str">
        <f>IF(NOT(ISNUMBER(B39)),"s. o.",IF(B39=0,"s. o.",B40/B39))</f>
        <v>s. o.</v>
      </c>
    </row>
    <row r="44" spans="1:12">
      <c r="A44" s="6" t="s">
        <v>186</v>
      </c>
    </row>
    <row r="45" spans="1:12">
      <c r="A45" s="10" t="s">
        <v>17</v>
      </c>
      <c r="B45" s="33">
        <v>6</v>
      </c>
      <c r="C45" s="33">
        <v>7</v>
      </c>
      <c r="D45" s="33">
        <v>8</v>
      </c>
      <c r="E45" s="33">
        <v>9</v>
      </c>
      <c r="F45" s="33">
        <v>10</v>
      </c>
      <c r="G45" s="33">
        <v>11</v>
      </c>
      <c r="H45" s="33">
        <v>12</v>
      </c>
      <c r="I45" s="33">
        <v>13</v>
      </c>
      <c r="J45" s="33">
        <v>14</v>
      </c>
      <c r="K45" s="33">
        <v>15</v>
      </c>
      <c r="L45" s="10" t="s">
        <v>187</v>
      </c>
    </row>
    <row r="46" spans="1:12">
      <c r="A46" s="12" t="s">
        <v>28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34">
        <f t="shared" ref="L46:L54" si="7">SUM(B46:K46)</f>
        <v>0</v>
      </c>
    </row>
    <row r="47" spans="1:12">
      <c r="A47" s="12" t="s">
        <v>41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34">
        <f t="shared" si="7"/>
        <v>0</v>
      </c>
    </row>
    <row r="48" spans="1:12">
      <c r="A48" s="12" t="s">
        <v>57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34">
        <f t="shared" si="7"/>
        <v>0</v>
      </c>
    </row>
    <row r="49" spans="1:12">
      <c r="A49" s="12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34">
        <f t="shared" si="7"/>
        <v>0</v>
      </c>
    </row>
    <row r="50" spans="1:12">
      <c r="A50" s="12" t="s">
        <v>73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34">
        <f t="shared" si="7"/>
        <v>0</v>
      </c>
    </row>
    <row r="51" spans="1:12">
      <c r="A51" s="12" t="s">
        <v>85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34">
        <f t="shared" si="7"/>
        <v>0</v>
      </c>
    </row>
    <row r="52" spans="1:12">
      <c r="A52" s="12" t="s">
        <v>91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34">
        <f t="shared" si="7"/>
        <v>0</v>
      </c>
    </row>
    <row r="53" spans="1:12">
      <c r="A53" s="12" t="s">
        <v>96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34">
        <f t="shared" si="7"/>
        <v>0</v>
      </c>
    </row>
    <row r="54" spans="1:12">
      <c r="A54" s="12" t="s">
        <v>105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34">
        <f t="shared" si="7"/>
        <v>0</v>
      </c>
    </row>
    <row r="55" spans="1:12">
      <c r="A55" s="15" t="s">
        <v>188</v>
      </c>
      <c r="B55" s="35">
        <f t="shared" ref="B55:L55" si="8">SUM(B46:B54)</f>
        <v>0</v>
      </c>
      <c r="C55" s="35">
        <f t="shared" si="8"/>
        <v>0</v>
      </c>
      <c r="D55" s="35">
        <f t="shared" si="8"/>
        <v>0</v>
      </c>
      <c r="E55" s="35">
        <f t="shared" si="8"/>
        <v>0</v>
      </c>
      <c r="F55" s="35">
        <f t="shared" si="8"/>
        <v>0</v>
      </c>
      <c r="G55" s="35">
        <f t="shared" si="8"/>
        <v>0</v>
      </c>
      <c r="H55" s="35">
        <f t="shared" si="8"/>
        <v>0</v>
      </c>
      <c r="I55" s="35">
        <f t="shared" si="8"/>
        <v>0</v>
      </c>
      <c r="J55" s="35">
        <f t="shared" si="8"/>
        <v>0</v>
      </c>
      <c r="K55" s="35">
        <f t="shared" si="8"/>
        <v>0</v>
      </c>
      <c r="L55" s="35">
        <f t="shared" si="8"/>
        <v>0</v>
      </c>
    </row>
    <row r="57" spans="1:12">
      <c r="A57" s="6" t="s">
        <v>189</v>
      </c>
    </row>
    <row r="58" spans="1:12">
      <c r="A58" s="10" t="s">
        <v>190</v>
      </c>
      <c r="B58" s="33">
        <v>6</v>
      </c>
      <c r="C58" s="33">
        <v>7</v>
      </c>
      <c r="D58" s="33">
        <v>8</v>
      </c>
      <c r="E58" s="33">
        <v>9</v>
      </c>
      <c r="F58" s="33">
        <v>10</v>
      </c>
      <c r="G58" s="33">
        <v>11</v>
      </c>
      <c r="H58" s="33">
        <v>12</v>
      </c>
      <c r="I58" s="33">
        <v>13</v>
      </c>
      <c r="J58" s="33">
        <v>14</v>
      </c>
      <c r="K58" s="33">
        <v>15</v>
      </c>
    </row>
    <row r="59" spans="1:12">
      <c r="A59" s="12" t="s">
        <v>191</v>
      </c>
      <c r="B59" s="21">
        <f>Planification!C14</f>
        <v>15.375</v>
      </c>
      <c r="C59" s="21">
        <f>Planification!D14</f>
        <v>30.75</v>
      </c>
      <c r="D59" s="21">
        <f>Planification!E14</f>
        <v>60.125</v>
      </c>
      <c r="E59" s="21">
        <f>Planification!F14</f>
        <v>89.5</v>
      </c>
      <c r="F59" s="21">
        <f>Planification!G14</f>
        <v>148.375</v>
      </c>
      <c r="G59" s="21">
        <f>Planification!H14</f>
        <v>207.25</v>
      </c>
      <c r="H59" s="21">
        <f>Planification!I14</f>
        <v>262.625</v>
      </c>
      <c r="I59" s="21">
        <f>Planification!J14</f>
        <v>294</v>
      </c>
      <c r="J59" s="21">
        <f>Planification!K14</f>
        <v>320</v>
      </c>
      <c r="K59" s="21">
        <f>Planification!L14</f>
        <v>346</v>
      </c>
    </row>
    <row r="60" spans="1:12">
      <c r="A60" s="12" t="s">
        <v>157</v>
      </c>
      <c r="B60" s="34" t="e">
        <f>IF(B$58&gt;$B$4,NA(),SUM($B$55:B$55))</f>
        <v>#N/A</v>
      </c>
      <c r="C60" s="34" t="e">
        <f>IF(C$58&gt;$B$4,NA(),SUM($B$55:C$55))</f>
        <v>#N/A</v>
      </c>
      <c r="D60" s="34" t="e">
        <f>IF(D$58&gt;$B$4,NA(),SUM($B$55:D$55))</f>
        <v>#N/A</v>
      </c>
      <c r="E60" s="34" t="e">
        <f>IF(E$58&gt;$B$4,NA(),SUM($B$55:E$55))</f>
        <v>#N/A</v>
      </c>
      <c r="F60" s="34" t="e">
        <f>IF(F$58&gt;$B$4,NA(),SUM($B$55:F$55))</f>
        <v>#N/A</v>
      </c>
      <c r="G60" s="34" t="e">
        <f>IF(G$58&gt;$B$4,NA(),SUM($B$55:G$55))</f>
        <v>#N/A</v>
      </c>
      <c r="H60" s="34" t="e">
        <f>IF(H$58&gt;$B$4,NA(),SUM($B$55:H$55))</f>
        <v>#N/A</v>
      </c>
      <c r="I60" s="34" t="e">
        <f>IF(I$58&gt;$B$4,NA(),SUM($B$55:I$55))</f>
        <v>#N/A</v>
      </c>
      <c r="J60" s="34" t="e">
        <f>IF(J$58&gt;$B$4,NA(),SUM($B$55:J$55))</f>
        <v>#N/A</v>
      </c>
      <c r="K60" s="34" t="e">
        <f>IF(K$58&gt;$B$4,NA(),SUM($B$55:K$55))</f>
        <v>#N/A</v>
      </c>
    </row>
    <row r="61" spans="1:12">
      <c r="A61" s="12" t="s">
        <v>192</v>
      </c>
      <c r="B61" s="34" t="e">
        <f t="shared" ref="B61:K61" si="9">IF(ISNA(B60),NA(),B60-B59)</f>
        <v>#N/A</v>
      </c>
      <c r="C61" s="34" t="e">
        <f t="shared" si="9"/>
        <v>#N/A</v>
      </c>
      <c r="D61" s="34" t="e">
        <f t="shared" si="9"/>
        <v>#N/A</v>
      </c>
      <c r="E61" s="34" t="e">
        <f t="shared" si="9"/>
        <v>#N/A</v>
      </c>
      <c r="F61" s="34" t="e">
        <f t="shared" si="9"/>
        <v>#N/A</v>
      </c>
      <c r="G61" s="34" t="e">
        <f t="shared" si="9"/>
        <v>#N/A</v>
      </c>
      <c r="H61" s="34" t="e">
        <f t="shared" si="9"/>
        <v>#N/A</v>
      </c>
      <c r="I61" s="34" t="e">
        <f t="shared" si="9"/>
        <v>#N/A</v>
      </c>
      <c r="J61" s="34" t="e">
        <f t="shared" si="9"/>
        <v>#N/A</v>
      </c>
      <c r="K61" s="34" t="e">
        <f t="shared" si="9"/>
        <v>#N/A</v>
      </c>
    </row>
    <row r="82" spans="1:7">
      <c r="A82" s="6" t="s">
        <v>193</v>
      </c>
    </row>
    <row r="83" spans="1:7">
      <c r="A83" s="2" t="s">
        <v>194</v>
      </c>
    </row>
    <row r="84" spans="1:7">
      <c r="A84" s="2" t="s">
        <v>195</v>
      </c>
    </row>
    <row r="85" spans="1:7">
      <c r="A85" s="2" t="s">
        <v>196</v>
      </c>
    </row>
    <row r="86" spans="1:7" ht="30" customHeight="1">
      <c r="A86" s="10" t="s">
        <v>197</v>
      </c>
      <c r="B86" s="10" t="s">
        <v>190</v>
      </c>
      <c r="C86" s="10" t="s">
        <v>198</v>
      </c>
      <c r="D86" s="10" t="s">
        <v>199</v>
      </c>
      <c r="E86" s="10" t="s">
        <v>131</v>
      </c>
      <c r="F86" s="10" t="s">
        <v>200</v>
      </c>
      <c r="G86" s="10" t="s">
        <v>201</v>
      </c>
    </row>
    <row r="87" spans="1:7">
      <c r="A87" s="37"/>
      <c r="B87" s="31"/>
      <c r="C87" s="31"/>
      <c r="D87" s="31"/>
      <c r="E87" s="4"/>
      <c r="F87" s="31"/>
      <c r="G87" s="31"/>
    </row>
    <row r="88" spans="1:7">
      <c r="A88" s="37"/>
      <c r="B88" s="31"/>
      <c r="C88" s="31"/>
      <c r="D88" s="31"/>
      <c r="E88" s="4"/>
      <c r="F88" s="31"/>
      <c r="G88" s="31"/>
    </row>
    <row r="89" spans="1:7">
      <c r="A89" s="37"/>
      <c r="B89" s="31"/>
      <c r="C89" s="31"/>
      <c r="D89" s="31"/>
      <c r="E89" s="4"/>
      <c r="F89" s="31"/>
      <c r="G89" s="31"/>
    </row>
    <row r="90" spans="1:7">
      <c r="A90" s="37"/>
      <c r="B90" s="31"/>
      <c r="C90" s="31"/>
      <c r="D90" s="31"/>
      <c r="E90" s="4"/>
      <c r="F90" s="31"/>
      <c r="G90" s="31"/>
    </row>
    <row r="91" spans="1:7">
      <c r="A91" s="37"/>
      <c r="B91" s="31"/>
      <c r="C91" s="31"/>
      <c r="D91" s="31"/>
      <c r="E91" s="4"/>
      <c r="F91" s="31"/>
      <c r="G91" s="31"/>
    </row>
    <row r="92" spans="1:7">
      <c r="A92" s="37"/>
      <c r="B92" s="31"/>
      <c r="C92" s="31"/>
      <c r="D92" s="31"/>
      <c r="E92" s="4"/>
      <c r="F92" s="31"/>
      <c r="G92" s="31"/>
    </row>
    <row r="93" spans="1:7">
      <c r="A93" s="37"/>
      <c r="B93" s="31"/>
      <c r="C93" s="31"/>
      <c r="D93" s="31"/>
      <c r="E93" s="4"/>
      <c r="F93" s="31"/>
      <c r="G93" s="31"/>
    </row>
    <row r="94" spans="1:7">
      <c r="A94" s="37"/>
      <c r="B94" s="31"/>
      <c r="C94" s="31"/>
      <c r="D94" s="31"/>
      <c r="E94" s="4"/>
      <c r="F94" s="31"/>
      <c r="G94" s="31"/>
    </row>
    <row r="95" spans="1:7">
      <c r="A95" s="37"/>
      <c r="B95" s="31"/>
      <c r="C95" s="31"/>
      <c r="D95" s="31"/>
      <c r="E95" s="4"/>
      <c r="F95" s="31"/>
      <c r="G95" s="31"/>
    </row>
    <row r="96" spans="1:7">
      <c r="A96" s="37"/>
      <c r="B96" s="31"/>
      <c r="C96" s="31"/>
      <c r="D96" s="31"/>
      <c r="E96" s="4"/>
      <c r="F96" s="31"/>
      <c r="G96" s="31"/>
    </row>
    <row r="97" spans="1:7">
      <c r="A97" s="37"/>
      <c r="B97" s="31"/>
      <c r="C97" s="31"/>
      <c r="D97" s="31"/>
      <c r="E97" s="4"/>
      <c r="F97" s="31"/>
      <c r="G97" s="31"/>
    </row>
    <row r="98" spans="1:7">
      <c r="A98" s="37"/>
      <c r="B98" s="31"/>
      <c r="C98" s="31"/>
      <c r="D98" s="31"/>
      <c r="E98" s="4"/>
      <c r="F98" s="31"/>
      <c r="G98" s="31"/>
    </row>
    <row r="99" spans="1:7">
      <c r="A99" s="37"/>
      <c r="B99" s="31"/>
      <c r="C99" s="31"/>
      <c r="D99" s="31"/>
      <c r="E99" s="4"/>
      <c r="F99" s="31"/>
      <c r="G99" s="31"/>
    </row>
    <row r="100" spans="1:7">
      <c r="A100" s="37"/>
      <c r="B100" s="31"/>
      <c r="C100" s="31"/>
      <c r="D100" s="31"/>
      <c r="E100" s="4"/>
      <c r="F100" s="31"/>
      <c r="G100" s="31"/>
    </row>
    <row r="101" spans="1:7">
      <c r="A101" s="37"/>
      <c r="B101" s="31"/>
      <c r="C101" s="31"/>
      <c r="D101" s="31"/>
      <c r="E101" s="4"/>
      <c r="F101" s="31"/>
      <c r="G101" s="31"/>
    </row>
    <row r="102" spans="1:7">
      <c r="A102" s="37"/>
      <c r="B102" s="31"/>
      <c r="C102" s="31"/>
      <c r="D102" s="31"/>
      <c r="E102" s="4"/>
      <c r="F102" s="31"/>
      <c r="G102" s="31"/>
    </row>
    <row r="103" spans="1:7">
      <c r="A103" s="37"/>
      <c r="B103" s="31"/>
      <c r="C103" s="31"/>
      <c r="D103" s="31"/>
      <c r="E103" s="4"/>
      <c r="F103" s="31"/>
      <c r="G103" s="31"/>
    </row>
    <row r="104" spans="1:7">
      <c r="A104" s="37"/>
      <c r="B104" s="31"/>
      <c r="C104" s="31"/>
      <c r="D104" s="31"/>
      <c r="E104" s="4"/>
      <c r="F104" s="31"/>
      <c r="G104" s="31"/>
    </row>
    <row r="105" spans="1:7">
      <c r="A105" s="37"/>
      <c r="B105" s="31"/>
      <c r="C105" s="31"/>
      <c r="D105" s="31"/>
      <c r="E105" s="4"/>
      <c r="F105" s="31"/>
      <c r="G105" s="31"/>
    </row>
    <row r="106" spans="1:7">
      <c r="A106" s="37"/>
      <c r="B106" s="31"/>
      <c r="C106" s="31"/>
      <c r="D106" s="31"/>
      <c r="E106" s="4"/>
      <c r="F106" s="31"/>
      <c r="G106" s="31"/>
    </row>
    <row r="107" spans="1:7">
      <c r="A107" s="37"/>
      <c r="B107" s="31"/>
      <c r="C107" s="31"/>
      <c r="D107" s="31"/>
      <c r="E107" s="4"/>
      <c r="F107" s="31"/>
      <c r="G107" s="31"/>
    </row>
    <row r="108" spans="1:7">
      <c r="A108" s="37"/>
      <c r="B108" s="31"/>
      <c r="C108" s="31"/>
      <c r="D108" s="31"/>
      <c r="E108" s="4"/>
      <c r="F108" s="31"/>
      <c r="G108" s="31"/>
    </row>
    <row r="109" spans="1:7">
      <c r="A109" s="37"/>
      <c r="B109" s="31"/>
      <c r="C109" s="31"/>
      <c r="D109" s="31"/>
      <c r="E109" s="4"/>
      <c r="F109" s="31"/>
      <c r="G109" s="31"/>
    </row>
    <row r="110" spans="1:7">
      <c r="A110" s="37"/>
      <c r="B110" s="31"/>
      <c r="C110" s="31"/>
      <c r="D110" s="31"/>
      <c r="E110" s="4"/>
      <c r="F110" s="31"/>
      <c r="G110" s="31"/>
    </row>
    <row r="111" spans="1:7">
      <c r="A111" s="37"/>
      <c r="B111" s="31"/>
      <c r="C111" s="31"/>
      <c r="D111" s="31"/>
      <c r="E111" s="4"/>
      <c r="F111" s="31"/>
      <c r="G111" s="31"/>
    </row>
    <row r="112" spans="1:7">
      <c r="A112" s="37"/>
      <c r="B112" s="31"/>
      <c r="C112" s="31"/>
      <c r="D112" s="31"/>
      <c r="E112" s="4"/>
      <c r="F112" s="31"/>
      <c r="G112" s="31"/>
    </row>
    <row r="113" spans="1:7">
      <c r="A113" s="37"/>
      <c r="B113" s="31"/>
      <c r="C113" s="31"/>
      <c r="D113" s="31"/>
      <c r="E113" s="4"/>
      <c r="F113" s="31"/>
      <c r="G113" s="31"/>
    </row>
    <row r="114" spans="1:7">
      <c r="A114" s="37"/>
      <c r="B114" s="31"/>
      <c r="C114" s="31"/>
      <c r="D114" s="31"/>
      <c r="E114" s="4"/>
      <c r="F114" s="31"/>
      <c r="G114" s="31"/>
    </row>
    <row r="115" spans="1:7">
      <c r="A115" s="37"/>
      <c r="B115" s="31"/>
      <c r="C115" s="31"/>
      <c r="D115" s="31"/>
      <c r="E115" s="4"/>
      <c r="F115" s="31"/>
      <c r="G115" s="31"/>
    </row>
    <row r="116" spans="1:7">
      <c r="A116" s="37"/>
      <c r="B116" s="31"/>
      <c r="C116" s="31"/>
      <c r="D116" s="31"/>
      <c r="E116" s="4"/>
      <c r="F116" s="31"/>
      <c r="G116" s="31"/>
    </row>
  </sheetData>
  <conditionalFormatting sqref="B32">
    <cfRule type="cellIs" dxfId="4" priority="2" operator="greaterThan">
      <formula>0</formula>
    </cfRule>
  </conditionalFormatting>
  <conditionalFormatting sqref="B60:K61">
    <cfRule type="expression" dxfId="3" priority="3">
      <formula>ISNA(B60)</formula>
    </cfRule>
  </conditionalFormatting>
  <conditionalFormatting sqref="M8:M17">
    <cfRule type="cellIs" dxfId="2" priority="1" operator="lessThan">
      <formula>0</formula>
    </cfRule>
  </conditionalFormatting>
  <dataValidations count="4">
    <dataValidation type="whole" allowBlank="1" showErrorMessage="1" sqref="B4" xr:uid="{00000000-0002-0000-0300-000000000000}">
      <formula1>0</formula1>
      <formula2>15</formula2>
    </dataValidation>
    <dataValidation type="list" allowBlank="1" showErrorMessage="1" sqref="C87:C116" xr:uid="{00000000-0002-0000-0300-000001000000}">
      <formula1>"1,2,3"</formula1>
    </dataValidation>
    <dataValidation type="list" allowBlank="1" showErrorMessage="1" sqref="D87:D116" xr:uid="{00000000-0002-0000-0300-000002000000}">
      <formula1>"Lot 0,Lot 1,Lot 2,Lot 3,Lot 4,Lot 5,Lot 6,Lot 7,Lot 8"</formula1>
    </dataValidation>
    <dataValidation type="list" allowBlank="1" showErrorMessage="1" sqref="F87:F116" xr:uid="{00000000-0002-0000-0300-000003000000}">
      <formula1>"Oui,Non"</formula1>
    </dataValidation>
  </dataValidations>
  <pageMargins left="0.4" right="0.4" top="0.5" bottom="0.5" header="0.3" footer="0.3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4"/>
  <sheetViews>
    <sheetView showGridLines="0" zoomScaleNormal="100" workbookViewId="0">
      <selection activeCell="C14" sqref="C14"/>
    </sheetView>
  </sheetViews>
  <sheetFormatPr defaultColWidth="8.7109375" defaultRowHeight="14.45"/>
  <cols>
    <col min="1" max="1" width="71.7109375" bestFit="1" customWidth="1"/>
    <col min="2" max="2" width="20" customWidth="1"/>
    <col min="3" max="4" width="18" customWidth="1"/>
    <col min="5" max="6" width="5" customWidth="1"/>
    <col min="7" max="7" width="6" customWidth="1"/>
    <col min="8" max="8" width="10" customWidth="1"/>
    <col min="9" max="9" width="30" customWidth="1"/>
    <col min="10" max="10" width="22" customWidth="1"/>
    <col min="11" max="11" width="10" customWidth="1"/>
    <col min="12" max="12" width="13" customWidth="1"/>
    <col min="13" max="14" width="11" customWidth="1"/>
    <col min="15" max="15" width="12" customWidth="1"/>
  </cols>
  <sheetData>
    <row r="1" spans="1:15" ht="16.899999999999999">
      <c r="A1" s="9" t="s">
        <v>202</v>
      </c>
    </row>
    <row r="2" spans="1:15">
      <c r="A2" s="2" t="s">
        <v>203</v>
      </c>
      <c r="H2" s="30" t="s">
        <v>204</v>
      </c>
      <c r="I2" s="31">
        <v>15</v>
      </c>
    </row>
    <row r="3" spans="1:15" ht="40.15" customHeight="1">
      <c r="A3" s="10" t="s">
        <v>205</v>
      </c>
      <c r="B3" s="10" t="s">
        <v>206</v>
      </c>
      <c r="C3" s="10" t="s">
        <v>207</v>
      </c>
      <c r="D3" s="10" t="s">
        <v>208</v>
      </c>
      <c r="E3" s="10" t="s">
        <v>209</v>
      </c>
      <c r="F3" s="10" t="s">
        <v>210</v>
      </c>
      <c r="G3" s="10" t="s">
        <v>211</v>
      </c>
      <c r="H3" s="10" t="s">
        <v>212</v>
      </c>
      <c r="I3" s="10" t="s">
        <v>213</v>
      </c>
      <c r="J3" s="10" t="s">
        <v>214</v>
      </c>
      <c r="K3" s="10" t="s">
        <v>215</v>
      </c>
      <c r="L3" s="10" t="s">
        <v>216</v>
      </c>
      <c r="M3" s="10" t="s">
        <v>217</v>
      </c>
      <c r="N3" s="10" t="s">
        <v>218</v>
      </c>
      <c r="O3" s="10" t="s">
        <v>219</v>
      </c>
    </row>
    <row r="4" spans="1:15" ht="52.9">
      <c r="A4" s="3" t="s">
        <v>220</v>
      </c>
      <c r="B4" s="3" t="s">
        <v>221</v>
      </c>
      <c r="C4" s="3" t="s">
        <v>222</v>
      </c>
      <c r="D4" s="3" t="s">
        <v>223</v>
      </c>
      <c r="E4" s="31">
        <v>4</v>
      </c>
      <c r="F4" s="31">
        <v>2</v>
      </c>
      <c r="G4" s="31">
        <v>2</v>
      </c>
      <c r="H4" s="32">
        <f t="shared" ref="H4:H14" si="0">E4*F4*G4</f>
        <v>16</v>
      </c>
      <c r="I4" s="3" t="s">
        <v>224</v>
      </c>
      <c r="J4" s="3" t="s">
        <v>225</v>
      </c>
      <c r="K4" s="31" t="s">
        <v>226</v>
      </c>
      <c r="L4" s="39">
        <v>46286</v>
      </c>
      <c r="M4" s="31">
        <v>1</v>
      </c>
      <c r="N4" s="31">
        <v>2</v>
      </c>
      <c r="O4" s="32">
        <f t="shared" ref="O4:O14" si="1">E4*M4*N4</f>
        <v>8</v>
      </c>
    </row>
    <row r="5" spans="1:15" ht="26.45">
      <c r="A5" s="3" t="s">
        <v>227</v>
      </c>
      <c r="B5" s="3" t="s">
        <v>228</v>
      </c>
      <c r="C5" s="3" t="s">
        <v>229</v>
      </c>
      <c r="D5" s="3" t="s">
        <v>230</v>
      </c>
      <c r="E5" s="31">
        <v>3</v>
      </c>
      <c r="F5" s="31">
        <v>2</v>
      </c>
      <c r="G5" s="31">
        <v>1</v>
      </c>
      <c r="H5" s="32">
        <f t="shared" si="0"/>
        <v>6</v>
      </c>
      <c r="I5" s="3" t="s">
        <v>231</v>
      </c>
      <c r="J5" s="3" t="s">
        <v>232</v>
      </c>
      <c r="K5" s="31" t="s">
        <v>226</v>
      </c>
      <c r="L5" s="39">
        <v>46286</v>
      </c>
      <c r="M5" s="31">
        <v>1</v>
      </c>
      <c r="N5" s="31">
        <v>1</v>
      </c>
      <c r="O5" s="32">
        <f t="shared" si="1"/>
        <v>3</v>
      </c>
    </row>
    <row r="6" spans="1:15" ht="52.9">
      <c r="A6" s="3" t="s">
        <v>233</v>
      </c>
      <c r="B6" s="3" t="s">
        <v>234</v>
      </c>
      <c r="C6" s="3" t="s">
        <v>235</v>
      </c>
      <c r="D6" s="3" t="s">
        <v>236</v>
      </c>
      <c r="E6" s="31">
        <v>4</v>
      </c>
      <c r="F6" s="31">
        <v>2</v>
      </c>
      <c r="G6" s="31">
        <v>3</v>
      </c>
      <c r="H6" s="32">
        <f t="shared" si="0"/>
        <v>24</v>
      </c>
      <c r="I6" s="3" t="s">
        <v>237</v>
      </c>
      <c r="J6" s="3" t="s">
        <v>232</v>
      </c>
      <c r="K6" s="31" t="s">
        <v>226</v>
      </c>
      <c r="L6" s="39">
        <v>46286</v>
      </c>
      <c r="M6" s="31">
        <v>1</v>
      </c>
      <c r="N6" s="31">
        <v>2</v>
      </c>
      <c r="O6" s="32">
        <f t="shared" si="1"/>
        <v>8</v>
      </c>
    </row>
    <row r="7" spans="1:15" ht="26.45">
      <c r="A7" s="3" t="s">
        <v>238</v>
      </c>
      <c r="B7" s="3" t="s">
        <v>239</v>
      </c>
      <c r="C7" s="3" t="s">
        <v>240</v>
      </c>
      <c r="D7" s="3" t="s">
        <v>241</v>
      </c>
      <c r="E7" s="31">
        <v>4</v>
      </c>
      <c r="F7" s="31">
        <v>2</v>
      </c>
      <c r="G7" s="31">
        <v>3</v>
      </c>
      <c r="H7" s="32">
        <f t="shared" si="0"/>
        <v>24</v>
      </c>
      <c r="I7" s="3" t="s">
        <v>242</v>
      </c>
      <c r="J7" s="3" t="s">
        <v>243</v>
      </c>
      <c r="K7" s="31" t="s">
        <v>226</v>
      </c>
      <c r="L7" s="39">
        <v>46286</v>
      </c>
      <c r="M7" s="31">
        <v>1</v>
      </c>
      <c r="N7" s="31">
        <v>2</v>
      </c>
      <c r="O7" s="32">
        <f t="shared" si="1"/>
        <v>8</v>
      </c>
    </row>
    <row r="8" spans="1:15" ht="26.45">
      <c r="A8" s="3" t="s">
        <v>244</v>
      </c>
      <c r="B8" s="3" t="s">
        <v>245</v>
      </c>
      <c r="C8" s="3" t="s">
        <v>246</v>
      </c>
      <c r="D8" s="3" t="s">
        <v>247</v>
      </c>
      <c r="E8" s="31">
        <v>2</v>
      </c>
      <c r="F8" s="31">
        <v>3</v>
      </c>
      <c r="G8" s="31">
        <v>2</v>
      </c>
      <c r="H8" s="32">
        <f t="shared" si="0"/>
        <v>12</v>
      </c>
      <c r="I8" s="3" t="s">
        <v>248</v>
      </c>
      <c r="J8" s="3" t="s">
        <v>249</v>
      </c>
      <c r="K8" s="31" t="s">
        <v>226</v>
      </c>
      <c r="L8" s="39">
        <v>46286</v>
      </c>
      <c r="M8" s="31">
        <v>2</v>
      </c>
      <c r="N8" s="31">
        <v>1</v>
      </c>
      <c r="O8" s="32">
        <f t="shared" si="1"/>
        <v>4</v>
      </c>
    </row>
    <row r="9" spans="1:15" ht="26.45">
      <c r="A9" s="3" t="s">
        <v>250</v>
      </c>
      <c r="B9" s="3" t="s">
        <v>251</v>
      </c>
      <c r="C9" s="3" t="s">
        <v>252</v>
      </c>
      <c r="D9" s="3" t="s">
        <v>253</v>
      </c>
      <c r="E9" s="31">
        <v>3</v>
      </c>
      <c r="F9" s="31">
        <v>3</v>
      </c>
      <c r="G9" s="31">
        <v>2</v>
      </c>
      <c r="H9" s="32">
        <f t="shared" si="0"/>
        <v>18</v>
      </c>
      <c r="I9" s="3" t="s">
        <v>254</v>
      </c>
      <c r="J9" s="3" t="s">
        <v>255</v>
      </c>
      <c r="K9" s="31" t="s">
        <v>226</v>
      </c>
      <c r="L9" s="39">
        <v>46286</v>
      </c>
      <c r="M9" s="31">
        <v>2</v>
      </c>
      <c r="N9" s="31">
        <v>2</v>
      </c>
      <c r="O9" s="32">
        <f t="shared" si="1"/>
        <v>12</v>
      </c>
    </row>
    <row r="10" spans="1:15" ht="26.45">
      <c r="A10" s="3" t="s">
        <v>37</v>
      </c>
      <c r="B10" s="3" t="s">
        <v>256</v>
      </c>
      <c r="C10" s="3" t="s">
        <v>257</v>
      </c>
      <c r="D10" s="3" t="s">
        <v>258</v>
      </c>
      <c r="E10" s="31">
        <v>2</v>
      </c>
      <c r="F10" s="31">
        <v>2</v>
      </c>
      <c r="G10" s="31">
        <v>2</v>
      </c>
      <c r="H10" s="32">
        <f t="shared" si="0"/>
        <v>8</v>
      </c>
      <c r="I10" s="3" t="s">
        <v>259</v>
      </c>
      <c r="J10" s="3" t="s">
        <v>255</v>
      </c>
      <c r="K10" s="31" t="s">
        <v>226</v>
      </c>
      <c r="L10" s="39">
        <v>46286</v>
      </c>
      <c r="M10" s="31">
        <v>1</v>
      </c>
      <c r="N10" s="31">
        <v>2</v>
      </c>
      <c r="O10" s="32">
        <f t="shared" si="1"/>
        <v>4</v>
      </c>
    </row>
    <row r="11" spans="1:15" ht="26.45">
      <c r="A11" s="3" t="s">
        <v>260</v>
      </c>
      <c r="B11" s="3" t="s">
        <v>261</v>
      </c>
      <c r="C11" s="3" t="s">
        <v>262</v>
      </c>
      <c r="D11" s="3" t="s">
        <v>263</v>
      </c>
      <c r="E11" s="31">
        <v>3</v>
      </c>
      <c r="F11" s="31">
        <v>2</v>
      </c>
      <c r="G11" s="31">
        <v>2</v>
      </c>
      <c r="H11" s="32">
        <f t="shared" si="0"/>
        <v>12</v>
      </c>
      <c r="I11" s="3" t="s">
        <v>264</v>
      </c>
      <c r="J11" s="3" t="s">
        <v>232</v>
      </c>
      <c r="K11" s="31" t="s">
        <v>226</v>
      </c>
      <c r="L11" s="39">
        <v>46286</v>
      </c>
      <c r="M11" s="31">
        <v>1</v>
      </c>
      <c r="N11" s="31">
        <v>2</v>
      </c>
      <c r="O11" s="32">
        <f t="shared" si="1"/>
        <v>6</v>
      </c>
    </row>
    <row r="12" spans="1:15" ht="26.45">
      <c r="A12" s="3" t="s">
        <v>265</v>
      </c>
      <c r="B12" s="3" t="s">
        <v>266</v>
      </c>
      <c r="C12" s="3" t="s">
        <v>267</v>
      </c>
      <c r="D12" s="3" t="s">
        <v>268</v>
      </c>
      <c r="E12" s="31">
        <v>2</v>
      </c>
      <c r="F12" s="31">
        <v>2</v>
      </c>
      <c r="G12" s="31">
        <v>2</v>
      </c>
      <c r="H12" s="32">
        <f t="shared" si="0"/>
        <v>8</v>
      </c>
      <c r="I12" s="3" t="s">
        <v>269</v>
      </c>
      <c r="J12" s="3" t="s">
        <v>225</v>
      </c>
      <c r="K12" s="31" t="s">
        <v>226</v>
      </c>
      <c r="L12" s="39">
        <v>46286</v>
      </c>
      <c r="M12" s="31">
        <v>1</v>
      </c>
      <c r="N12" s="31">
        <v>2</v>
      </c>
      <c r="O12" s="32">
        <f t="shared" si="1"/>
        <v>4</v>
      </c>
    </row>
    <row r="13" spans="1:15" ht="52.9">
      <c r="A13" s="3" t="s">
        <v>270</v>
      </c>
      <c r="B13" s="3" t="s">
        <v>271</v>
      </c>
      <c r="C13" s="3" t="s">
        <v>272</v>
      </c>
      <c r="D13" s="3" t="s">
        <v>273</v>
      </c>
      <c r="E13" s="31">
        <v>3</v>
      </c>
      <c r="F13" s="31">
        <v>2</v>
      </c>
      <c r="G13" s="31">
        <v>2</v>
      </c>
      <c r="H13" s="32">
        <f t="shared" si="0"/>
        <v>12</v>
      </c>
      <c r="I13" s="3" t="s">
        <v>274</v>
      </c>
      <c r="J13" s="3" t="s">
        <v>232</v>
      </c>
      <c r="K13" s="31" t="s">
        <v>226</v>
      </c>
      <c r="L13" s="39">
        <v>46286</v>
      </c>
      <c r="M13" s="31">
        <v>1</v>
      </c>
      <c r="N13" s="31">
        <v>1</v>
      </c>
      <c r="O13" s="32">
        <f t="shared" si="1"/>
        <v>3</v>
      </c>
    </row>
    <row r="14" spans="1:15" ht="39.6">
      <c r="A14" s="3" t="s">
        <v>275</v>
      </c>
      <c r="B14" s="3" t="s">
        <v>276</v>
      </c>
      <c r="C14" s="3" t="s">
        <v>277</v>
      </c>
      <c r="D14" s="3" t="s">
        <v>278</v>
      </c>
      <c r="E14" s="31">
        <v>3</v>
      </c>
      <c r="F14" s="31">
        <v>2</v>
      </c>
      <c r="G14" s="31">
        <v>2</v>
      </c>
      <c r="H14" s="32">
        <f t="shared" si="0"/>
        <v>12</v>
      </c>
      <c r="I14" s="3" t="s">
        <v>279</v>
      </c>
      <c r="J14" s="3" t="s">
        <v>225</v>
      </c>
      <c r="K14" s="31" t="s">
        <v>226</v>
      </c>
      <c r="L14" s="39">
        <v>46286</v>
      </c>
      <c r="M14" s="31">
        <v>1</v>
      </c>
      <c r="N14" s="31">
        <v>2</v>
      </c>
      <c r="O14" s="32">
        <f t="shared" si="1"/>
        <v>6</v>
      </c>
    </row>
  </sheetData>
  <conditionalFormatting sqref="H4:H14">
    <cfRule type="expression" dxfId="1" priority="2">
      <formula>$H4&gt;=$I$2</formula>
    </cfRule>
  </conditionalFormatting>
  <conditionalFormatting sqref="O4:O14">
    <cfRule type="expression" dxfId="0" priority="3">
      <formula>$O4&gt;=$I$2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39"/>
  <sheetViews>
    <sheetView showGridLines="0" topLeftCell="A49" zoomScaleNormal="100" workbookViewId="0">
      <selection activeCell="P46" sqref="P46"/>
    </sheetView>
  </sheetViews>
  <sheetFormatPr defaultColWidth="8.7109375" defaultRowHeight="14.45"/>
  <cols>
    <col min="1" max="1" width="18" customWidth="1"/>
    <col min="14" max="14" width="3.42578125" bestFit="1" customWidth="1"/>
    <col min="15" max="15" width="16" bestFit="1" customWidth="1"/>
    <col min="16" max="16" width="43.7109375" bestFit="1" customWidth="1"/>
    <col min="17" max="22" width="12" customWidth="1"/>
  </cols>
  <sheetData>
    <row r="1" spans="1:22" ht="16.899999999999999">
      <c r="A1" s="9" t="s">
        <v>280</v>
      </c>
    </row>
    <row r="3" spans="1:22" ht="39.6">
      <c r="A3" s="20" t="s">
        <v>17</v>
      </c>
      <c r="B3" s="20" t="s">
        <v>187</v>
      </c>
      <c r="C3" s="33">
        <v>6</v>
      </c>
      <c r="D3" s="33">
        <v>7</v>
      </c>
      <c r="E3" s="33">
        <v>8</v>
      </c>
      <c r="F3" s="33">
        <v>9</v>
      </c>
      <c r="G3" s="33">
        <v>10</v>
      </c>
      <c r="H3" s="33">
        <v>11</v>
      </c>
      <c r="I3" s="33">
        <v>12</v>
      </c>
      <c r="J3" s="33">
        <v>13</v>
      </c>
      <c r="K3" s="33">
        <v>14</v>
      </c>
      <c r="L3" s="33">
        <v>15</v>
      </c>
      <c r="M3" s="20" t="s">
        <v>21</v>
      </c>
      <c r="N3" s="20" t="s">
        <v>22</v>
      </c>
      <c r="O3" s="20" t="s">
        <v>281</v>
      </c>
      <c r="P3" s="10" t="s">
        <v>282</v>
      </c>
      <c r="Q3" s="10" t="s">
        <v>283</v>
      </c>
      <c r="R3" s="10" t="s">
        <v>284</v>
      </c>
      <c r="S3" s="10" t="s">
        <v>285</v>
      </c>
      <c r="T3" s="10" t="s">
        <v>286</v>
      </c>
      <c r="U3" s="10" t="s">
        <v>287</v>
      </c>
      <c r="V3" s="10" t="s">
        <v>288</v>
      </c>
    </row>
    <row r="4" spans="1:22">
      <c r="A4" s="12" t="s">
        <v>28</v>
      </c>
      <c r="B4" s="21">
        <f>SUMIF(OTP!$C:$C,A4,OTP!$F:$F)</f>
        <v>70</v>
      </c>
      <c r="C4" s="42">
        <f>IF(AND(C$3&gt;=$M4,C$3&lt;=$N4),$B4/($N4-$M4+1),0)</f>
        <v>7</v>
      </c>
      <c r="D4" s="42">
        <f t="shared" ref="C4:L12" si="0">IF(AND(D$3&gt;=$M4,D$3&lt;=$N4),$B4/($N4-$M4+1),0)</f>
        <v>7</v>
      </c>
      <c r="E4" s="42">
        <f t="shared" si="0"/>
        <v>7</v>
      </c>
      <c r="F4" s="42">
        <f t="shared" si="0"/>
        <v>7</v>
      </c>
      <c r="G4" s="42">
        <f t="shared" si="0"/>
        <v>7</v>
      </c>
      <c r="H4" s="42">
        <f t="shared" si="0"/>
        <v>7</v>
      </c>
      <c r="I4" s="42">
        <f t="shared" si="0"/>
        <v>7</v>
      </c>
      <c r="J4" s="42">
        <f t="shared" si="0"/>
        <v>7</v>
      </c>
      <c r="K4" s="42">
        <f t="shared" si="0"/>
        <v>7</v>
      </c>
      <c r="L4" s="42">
        <f t="shared" si="0"/>
        <v>7</v>
      </c>
      <c r="M4" s="41">
        <f>_xlfn.MINIFS(OTP!$J$4:$J$39,OTP!$C$4:$C$39,$A4)</f>
        <v>6</v>
      </c>
      <c r="N4" s="41">
        <f>_xlfn.MAXIFS(OTP!$K$4:$K$39,OTP!$C$4:$C$39,$A4)</f>
        <v>15</v>
      </c>
      <c r="O4" s="31" t="s">
        <v>289</v>
      </c>
      <c r="P4" s="41" t="str">
        <f>OTP!A4&amp;" "&amp;LEFT(OTP!B4,42)</f>
        <v>T0.1 Rencontres hebdomadaires de suivi</v>
      </c>
      <c r="Q4" s="41">
        <f>OTP!J4</f>
        <v>6</v>
      </c>
      <c r="R4" s="41">
        <f>OTP!K4</f>
        <v>15</v>
      </c>
      <c r="S4" s="11">
        <f t="shared" ref="S4:S39" si="1">Q4</f>
        <v>6</v>
      </c>
      <c r="T4" s="11">
        <f>IF(OTP!C4="Lot 0",R4-Q4+1,0)</f>
        <v>10</v>
      </c>
      <c r="U4" s="11">
        <f>IF(AND(OTP!C4&lt;&gt;"Lot 0",INDEX($O$4:$O$12,MATCH(OTP!C4,$A$4:$A$12,0))&lt;&gt;"Oui"),R4-Q4+1,0)</f>
        <v>0</v>
      </c>
      <c r="V4" s="11">
        <f>IF(AND(OTP!C4&lt;&gt;"Lot 0",INDEX($O$4:$O$12,MATCH(OTP!C4,$A$4:$A$12,0))="Oui"),R4-Q4+1,0)</f>
        <v>0</v>
      </c>
    </row>
    <row r="5" spans="1:22">
      <c r="A5" s="12" t="s">
        <v>41</v>
      </c>
      <c r="B5" s="21">
        <f>SUMIF(OTP!$C:$C,A5,OTP!$F:$F)</f>
        <v>67</v>
      </c>
      <c r="C5" s="43">
        <f t="shared" si="0"/>
        <v>8.375</v>
      </c>
      <c r="D5" s="43">
        <f t="shared" si="0"/>
        <v>8.375</v>
      </c>
      <c r="E5" s="34">
        <f t="shared" si="0"/>
        <v>8.375</v>
      </c>
      <c r="F5" s="34">
        <f t="shared" si="0"/>
        <v>8.375</v>
      </c>
      <c r="G5" s="34">
        <f t="shared" si="0"/>
        <v>8.375</v>
      </c>
      <c r="H5" s="34">
        <f t="shared" si="0"/>
        <v>8.375</v>
      </c>
      <c r="I5" s="34">
        <f t="shared" si="0"/>
        <v>8.375</v>
      </c>
      <c r="J5" s="34">
        <f t="shared" si="0"/>
        <v>8.375</v>
      </c>
      <c r="K5" s="34">
        <f t="shared" si="0"/>
        <v>0</v>
      </c>
      <c r="L5" s="34">
        <f t="shared" si="0"/>
        <v>0</v>
      </c>
      <c r="M5" s="41">
        <f>_xlfn.MINIFS(OTP!$J$4:$J$39,OTP!$C$4:$C$39,$A5)</f>
        <v>6</v>
      </c>
      <c r="N5" s="41">
        <f>_xlfn.MAXIFS(OTP!$K$4:$K$39,OTP!$C$4:$C$39,$A5)</f>
        <v>13</v>
      </c>
      <c r="O5" s="31" t="s">
        <v>290</v>
      </c>
      <c r="P5" s="41" t="str">
        <f>OTP!A5&amp;" "&amp;LEFT(OTP!B5,42)</f>
        <v>T0.2 Mise à jour de l'AMDEC et du budget à jour</v>
      </c>
      <c r="Q5" s="41">
        <f>OTP!J5</f>
        <v>6</v>
      </c>
      <c r="R5" s="41">
        <f>OTP!K5</f>
        <v>15</v>
      </c>
      <c r="S5" s="11">
        <f t="shared" si="1"/>
        <v>6</v>
      </c>
      <c r="T5" s="11">
        <f>IF(OTP!C5="Lot 0",R5-Q5+1,0)</f>
        <v>10</v>
      </c>
      <c r="U5" s="11">
        <f>IF(AND(OTP!C5&lt;&gt;"Lot 0",INDEX($O$4:$O$12,MATCH(OTP!C5,$A$4:$A$12,0))&lt;&gt;"Oui"),R5-Q5+1,0)</f>
        <v>0</v>
      </c>
      <c r="V5" s="11">
        <f>IF(AND(OTP!C5&lt;&gt;"Lot 0",INDEX($O$4:$O$12,MATCH(OTP!C5,$A$4:$A$12,0))="Oui"),R5-Q5+1,0)</f>
        <v>0</v>
      </c>
    </row>
    <row r="6" spans="1:22">
      <c r="A6" s="12" t="s">
        <v>57</v>
      </c>
      <c r="B6" s="21">
        <f>SUMIF(OTP!$C:$C,A6,OTP!$F:$F)</f>
        <v>28</v>
      </c>
      <c r="C6" s="34">
        <f t="shared" si="0"/>
        <v>0</v>
      </c>
      <c r="D6" s="34">
        <f t="shared" si="0"/>
        <v>0</v>
      </c>
      <c r="E6" s="44">
        <f t="shared" si="0"/>
        <v>14</v>
      </c>
      <c r="F6" s="44">
        <f t="shared" si="0"/>
        <v>14</v>
      </c>
      <c r="G6" s="34">
        <f t="shared" si="0"/>
        <v>0</v>
      </c>
      <c r="H6" s="34">
        <f t="shared" si="0"/>
        <v>0</v>
      </c>
      <c r="I6" s="34">
        <f t="shared" si="0"/>
        <v>0</v>
      </c>
      <c r="J6" s="34">
        <f t="shared" si="0"/>
        <v>0</v>
      </c>
      <c r="K6" s="34">
        <f t="shared" si="0"/>
        <v>0</v>
      </c>
      <c r="L6" s="34">
        <f t="shared" si="0"/>
        <v>0</v>
      </c>
      <c r="M6" s="41">
        <f>_xlfn.MINIFS(OTP!$J$4:$J$39,OTP!$C$4:$C$39,$A6)</f>
        <v>8</v>
      </c>
      <c r="N6" s="41">
        <f>_xlfn.MAXIFS(OTP!$K$4:$K$39,OTP!$C$4:$C$39,$A6)</f>
        <v>9</v>
      </c>
      <c r="O6" s="31" t="s">
        <v>290</v>
      </c>
      <c r="P6" s="41" t="str">
        <f>OTP!A6&amp;" "&amp;LEFT(OTP!B6,42)</f>
        <v>T0.3 Coordination et comptes rendus</v>
      </c>
      <c r="Q6" s="41">
        <f>OTP!J6</f>
        <v>6</v>
      </c>
      <c r="R6" s="41">
        <f>OTP!K6</f>
        <v>15</v>
      </c>
      <c r="S6" s="11">
        <f t="shared" si="1"/>
        <v>6</v>
      </c>
      <c r="T6" s="11">
        <f>IF(OTP!C6="Lot 0",R6-Q6+1,0)</f>
        <v>10</v>
      </c>
      <c r="U6" s="11">
        <f>IF(AND(OTP!C6&lt;&gt;"Lot 0",INDEX($O$4:$O$12,MATCH(OTP!C6,$A$4:$A$12,0))&lt;&gt;"Oui"),R6-Q6+1,0)</f>
        <v>0</v>
      </c>
      <c r="V6" s="11">
        <f>IF(AND(OTP!C6&lt;&gt;"Lot 0",INDEX($O$4:$O$12,MATCH(OTP!C6,$A$4:$A$12,0))="Oui"),R6-Q6+1,0)</f>
        <v>0</v>
      </c>
    </row>
    <row r="7" spans="1:22">
      <c r="A7" s="12" t="s">
        <v>66</v>
      </c>
      <c r="B7" s="21">
        <f>SUMIF(OTP!$C:$C,A7,OTP!$F:$F)</f>
        <v>17</v>
      </c>
      <c r="C7" s="34">
        <f t="shared" si="0"/>
        <v>0</v>
      </c>
      <c r="D7" s="34">
        <f t="shared" si="0"/>
        <v>0</v>
      </c>
      <c r="E7" s="34">
        <f t="shared" si="0"/>
        <v>0</v>
      </c>
      <c r="F7" s="34">
        <f t="shared" si="0"/>
        <v>0</v>
      </c>
      <c r="G7" s="45">
        <f t="shared" si="0"/>
        <v>8.5</v>
      </c>
      <c r="H7" s="45">
        <f t="shared" si="0"/>
        <v>8.5</v>
      </c>
      <c r="I7" s="34">
        <f t="shared" si="0"/>
        <v>0</v>
      </c>
      <c r="J7" s="34">
        <f t="shared" si="0"/>
        <v>0</v>
      </c>
      <c r="K7" s="34">
        <f t="shared" si="0"/>
        <v>0</v>
      </c>
      <c r="L7" s="34">
        <f t="shared" si="0"/>
        <v>0</v>
      </c>
      <c r="M7" s="41">
        <f>_xlfn.MINIFS(OTP!$J$4:$J$39,OTP!$C$4:$C$39,$A7)</f>
        <v>10</v>
      </c>
      <c r="N7" s="41">
        <f>_xlfn.MAXIFS(OTP!$K$4:$K$39,OTP!$C$4:$C$39,$A7)</f>
        <v>11</v>
      </c>
      <c r="O7" s="31" t="s">
        <v>290</v>
      </c>
      <c r="P7" s="41" t="str">
        <f>OTP!A7&amp;" "&amp;LEFT(OTP!B7,42)</f>
        <v>T0.4 Participation des équipiers aux rencontres</v>
      </c>
      <c r="Q7" s="41">
        <f>OTP!J7</f>
        <v>6</v>
      </c>
      <c r="R7" s="41">
        <f>OTP!K7</f>
        <v>15</v>
      </c>
      <c r="S7" s="11">
        <f t="shared" si="1"/>
        <v>6</v>
      </c>
      <c r="T7" s="11">
        <f>IF(OTP!C7="Lot 0",R7-Q7+1,0)</f>
        <v>10</v>
      </c>
      <c r="U7" s="11">
        <f>IF(AND(OTP!C7&lt;&gt;"Lot 0",INDEX($O$4:$O$12,MATCH(OTP!C7,$A$4:$A$12,0))&lt;&gt;"Oui"),R7-Q7+1,0)</f>
        <v>0</v>
      </c>
      <c r="V7" s="11">
        <f>IF(AND(OTP!C7&lt;&gt;"Lot 0",INDEX($O$4:$O$12,MATCH(OTP!C7,$A$4:$A$12,0))="Oui"),R7-Q7+1,0)</f>
        <v>0</v>
      </c>
    </row>
    <row r="8" spans="1:22">
      <c r="A8" s="12" t="s">
        <v>73</v>
      </c>
      <c r="B8" s="21">
        <f>SUMIF(OTP!$C:$C,A8,OTP!$F:$F)</f>
        <v>44</v>
      </c>
      <c r="C8" s="34">
        <f t="shared" si="0"/>
        <v>0</v>
      </c>
      <c r="D8" s="34">
        <f t="shared" si="0"/>
        <v>0</v>
      </c>
      <c r="E8" s="34">
        <f t="shared" si="0"/>
        <v>0</v>
      </c>
      <c r="F8" s="34">
        <f t="shared" si="0"/>
        <v>0</v>
      </c>
      <c r="G8" s="46">
        <f t="shared" si="0"/>
        <v>22</v>
      </c>
      <c r="H8" s="46">
        <f t="shared" si="0"/>
        <v>22</v>
      </c>
      <c r="I8" s="34">
        <f t="shared" si="0"/>
        <v>0</v>
      </c>
      <c r="J8" s="34">
        <f t="shared" si="0"/>
        <v>0</v>
      </c>
      <c r="K8" s="34">
        <f t="shared" si="0"/>
        <v>0</v>
      </c>
      <c r="L8" s="34">
        <f t="shared" si="0"/>
        <v>0</v>
      </c>
      <c r="M8" s="41">
        <f>_xlfn.MINIFS(OTP!$J$4:$J$39,OTP!$C$4:$C$39,$A8)</f>
        <v>10</v>
      </c>
      <c r="N8" s="41">
        <f>_xlfn.MAXIFS(OTP!$K$4:$K$39,OTP!$C$4:$C$39,$A8)</f>
        <v>11</v>
      </c>
      <c r="O8" s="31" t="s">
        <v>290</v>
      </c>
      <c r="P8" s="41" t="str">
        <f>OTP!A8&amp;" "&amp;LEFT(OTP!B8,42)</f>
        <v>T1.1 Installation et configuration de Proxmox V</v>
      </c>
      <c r="Q8" s="41">
        <f>OTP!J8</f>
        <v>6</v>
      </c>
      <c r="R8" s="41">
        <f>OTP!K8</f>
        <v>6</v>
      </c>
      <c r="S8" s="11">
        <f t="shared" si="1"/>
        <v>6</v>
      </c>
      <c r="T8" s="11">
        <f>IF(OTP!C8="Lot 0",R8-Q8+1,0)</f>
        <v>0</v>
      </c>
      <c r="U8" s="11">
        <f>IF(AND(OTP!C8&lt;&gt;"Lot 0",INDEX($O$4:$O$12,MATCH(OTP!C8,$A$4:$A$12,0))&lt;&gt;"Oui"),R8-Q8+1,0)</f>
        <v>0</v>
      </c>
      <c r="V8" s="11">
        <f>IF(AND(OTP!C8&lt;&gt;"Lot 0",INDEX($O$4:$O$12,MATCH(OTP!C8,$A$4:$A$12,0))="Oui"),R8-Q8+1,0)</f>
        <v>1</v>
      </c>
    </row>
    <row r="9" spans="1:22">
      <c r="A9" s="12" t="s">
        <v>85</v>
      </c>
      <c r="B9" s="21">
        <f>SUMIF(OTP!$C:$C,A9,OTP!$F:$F)</f>
        <v>24</v>
      </c>
      <c r="C9" s="34">
        <f t="shared" si="0"/>
        <v>0</v>
      </c>
      <c r="D9" s="34">
        <f t="shared" si="0"/>
        <v>0</v>
      </c>
      <c r="E9" s="34">
        <f t="shared" si="0"/>
        <v>0</v>
      </c>
      <c r="F9" s="34">
        <f t="shared" si="0"/>
        <v>0</v>
      </c>
      <c r="G9" s="34">
        <f t="shared" si="0"/>
        <v>0</v>
      </c>
      <c r="H9" s="34">
        <f t="shared" si="0"/>
        <v>0</v>
      </c>
      <c r="I9" s="47">
        <f t="shared" si="0"/>
        <v>24</v>
      </c>
      <c r="J9" s="34">
        <f t="shared" si="0"/>
        <v>0</v>
      </c>
      <c r="K9" s="34">
        <f t="shared" si="0"/>
        <v>0</v>
      </c>
      <c r="L9" s="34">
        <f t="shared" si="0"/>
        <v>0</v>
      </c>
      <c r="M9" s="41">
        <f>_xlfn.MINIFS(OTP!$J$4:$J$39,OTP!$C$4:$C$39,$A9)</f>
        <v>12</v>
      </c>
      <c r="N9" s="41">
        <f>_xlfn.MAXIFS(OTP!$K$4:$K$39,OTP!$C$4:$C$39,$A9)</f>
        <v>12</v>
      </c>
      <c r="O9" s="31" t="s">
        <v>291</v>
      </c>
      <c r="P9" s="41" t="str">
        <f>OTP!A9&amp;" "&amp;LEFT(OTP!B9,42)</f>
        <v>T1.2 Réseau physique et configuration des VLAN</v>
      </c>
      <c r="Q9" s="41">
        <f>OTP!J9</f>
        <v>6</v>
      </c>
      <c r="R9" s="41">
        <f>OTP!K9</f>
        <v>7</v>
      </c>
      <c r="S9" s="11">
        <f t="shared" si="1"/>
        <v>6</v>
      </c>
      <c r="T9" s="11">
        <f>IF(OTP!C9="Lot 0",R9-Q9+1,0)</f>
        <v>0</v>
      </c>
      <c r="U9" s="11">
        <f>IF(AND(OTP!C9&lt;&gt;"Lot 0",INDEX($O$4:$O$12,MATCH(OTP!C9,$A$4:$A$12,0))&lt;&gt;"Oui"),R9-Q9+1,0)</f>
        <v>0</v>
      </c>
      <c r="V9" s="11">
        <f>IF(AND(OTP!C9&lt;&gt;"Lot 0",INDEX($O$4:$O$12,MATCH(OTP!C9,$A$4:$A$12,0))="Oui"),R9-Q9+1,0)</f>
        <v>2</v>
      </c>
    </row>
    <row r="10" spans="1:22">
      <c r="A10" s="12" t="s">
        <v>91</v>
      </c>
      <c r="B10" s="21">
        <f>SUMIF(OTP!$C:$C,A10,OTP!$F:$F)</f>
        <v>26</v>
      </c>
      <c r="C10" s="34">
        <f t="shared" si="0"/>
        <v>0</v>
      </c>
      <c r="D10" s="34">
        <f t="shared" si="0"/>
        <v>0</v>
      </c>
      <c r="E10" s="34">
        <f t="shared" si="0"/>
        <v>0</v>
      </c>
      <c r="F10" s="34">
        <f t="shared" si="0"/>
        <v>0</v>
      </c>
      <c r="G10" s="48">
        <f t="shared" si="0"/>
        <v>13</v>
      </c>
      <c r="H10" s="48">
        <f t="shared" si="0"/>
        <v>13</v>
      </c>
      <c r="I10" s="34">
        <f t="shared" si="0"/>
        <v>0</v>
      </c>
      <c r="J10" s="34">
        <f t="shared" si="0"/>
        <v>0</v>
      </c>
      <c r="K10" s="34">
        <f t="shared" si="0"/>
        <v>0</v>
      </c>
      <c r="L10" s="34">
        <f t="shared" si="0"/>
        <v>0</v>
      </c>
      <c r="M10" s="41">
        <f>_xlfn.MINIFS(OTP!$J$4:$J$39,OTP!$C$4:$C$39,$A10)</f>
        <v>10</v>
      </c>
      <c r="N10" s="41">
        <f>_xlfn.MAXIFS(OTP!$K$4:$K$39,OTP!$C$4:$C$39,$A10)</f>
        <v>11</v>
      </c>
      <c r="O10" s="31" t="s">
        <v>291</v>
      </c>
      <c r="P10" s="41" t="str">
        <f>OTP!A10&amp;" "&amp;LEFT(OTP!B10,42)</f>
        <v>T1.3 Provisionnement des VM/LXC avec Terraform</v>
      </c>
      <c r="Q10" s="41">
        <f>OTP!J10</f>
        <v>7</v>
      </c>
      <c r="R10" s="41">
        <f>OTP!K10</f>
        <v>7</v>
      </c>
      <c r="S10" s="11">
        <f t="shared" si="1"/>
        <v>7</v>
      </c>
      <c r="T10" s="11">
        <f>IF(OTP!C10="Lot 0",R10-Q10+1,0)</f>
        <v>0</v>
      </c>
      <c r="U10" s="11">
        <f>IF(AND(OTP!C10&lt;&gt;"Lot 0",INDEX($O$4:$O$12,MATCH(OTP!C10,$A$4:$A$12,0))&lt;&gt;"Oui"),R10-Q10+1,0)</f>
        <v>0</v>
      </c>
      <c r="V10" s="11">
        <f>IF(AND(OTP!C10&lt;&gt;"Lot 0",INDEX($O$4:$O$12,MATCH(OTP!C10,$A$4:$A$12,0))="Oui"),R10-Q10+1,0)</f>
        <v>1</v>
      </c>
    </row>
    <row r="11" spans="1:22">
      <c r="A11" s="12" t="s">
        <v>96</v>
      </c>
      <c r="B11" s="21">
        <f>SUMIF(OTP!$C:$C,A11,OTP!$F:$F)</f>
        <v>32</v>
      </c>
      <c r="C11" s="34">
        <f t="shared" si="0"/>
        <v>0</v>
      </c>
      <c r="D11" s="34">
        <f t="shared" si="0"/>
        <v>0</v>
      </c>
      <c r="E11" s="34">
        <f t="shared" si="0"/>
        <v>0</v>
      </c>
      <c r="F11" s="34">
        <f t="shared" si="0"/>
        <v>0</v>
      </c>
      <c r="G11" s="34">
        <f t="shared" si="0"/>
        <v>0</v>
      </c>
      <c r="H11" s="34">
        <f t="shared" si="0"/>
        <v>0</v>
      </c>
      <c r="I11" s="49">
        <f t="shared" si="0"/>
        <v>16</v>
      </c>
      <c r="J11" s="49">
        <f t="shared" si="0"/>
        <v>16</v>
      </c>
      <c r="K11" s="34">
        <f t="shared" si="0"/>
        <v>0</v>
      </c>
      <c r="L11" s="34">
        <f t="shared" si="0"/>
        <v>0</v>
      </c>
      <c r="M11" s="41">
        <f>_xlfn.MINIFS(OTP!$J$4:$J$39,OTP!$C$4:$C$39,$A11)</f>
        <v>12</v>
      </c>
      <c r="N11" s="41">
        <f>_xlfn.MAXIFS(OTP!$K$4:$K$39,OTP!$C$4:$C$39,$A11)</f>
        <v>13</v>
      </c>
      <c r="O11" s="31" t="s">
        <v>290</v>
      </c>
      <c r="P11" s="41" t="str">
        <f>OTP!A11&amp;" "&amp;LEFT(OTP!B11,42)</f>
        <v>T1.4 Playbooks Ansible (automatisation centrali</v>
      </c>
      <c r="Q11" s="41">
        <f>OTP!J11</f>
        <v>7</v>
      </c>
      <c r="R11" s="41">
        <f>OTP!K11</f>
        <v>8</v>
      </c>
      <c r="S11" s="11">
        <f t="shared" ref="S11:S12" si="2">Q11</f>
        <v>7</v>
      </c>
      <c r="T11" s="11">
        <f>IF(OTP!C11="Lot 0",R11-Q11+1,0)</f>
        <v>0</v>
      </c>
      <c r="U11" s="11">
        <f>IF(AND(OTP!C11&lt;&gt;"Lot 0",INDEX($O$4:$O$12,MATCH(OTP!C11,$A$4:$A$12,0))&lt;&gt;"Oui"),R11-Q11+1,0)</f>
        <v>0</v>
      </c>
      <c r="V11" s="11">
        <f>IF(AND(OTP!C11&lt;&gt;"Lot 0",INDEX($O$4:$O$12,MATCH(OTP!C11,$A$4:$A$12,0))="Oui"),R11-Q11+1,0)</f>
        <v>2</v>
      </c>
    </row>
    <row r="12" spans="1:22">
      <c r="A12" s="12" t="s">
        <v>105</v>
      </c>
      <c r="B12" s="21">
        <f>SUMIF(OTP!$C:$C,A12,OTP!$F:$F)</f>
        <v>38</v>
      </c>
      <c r="C12" s="34">
        <f t="shared" si="0"/>
        <v>0</v>
      </c>
      <c r="D12" s="34">
        <f t="shared" si="0"/>
        <v>0</v>
      </c>
      <c r="E12" s="34">
        <f t="shared" si="0"/>
        <v>0</v>
      </c>
      <c r="F12" s="34">
        <f t="shared" si="0"/>
        <v>0</v>
      </c>
      <c r="G12" s="34">
        <f t="shared" si="0"/>
        <v>0</v>
      </c>
      <c r="H12" s="34">
        <f t="shared" si="0"/>
        <v>0</v>
      </c>
      <c r="I12" s="34">
        <f t="shared" si="0"/>
        <v>0</v>
      </c>
      <c r="J12" s="34">
        <f t="shared" si="0"/>
        <v>0</v>
      </c>
      <c r="K12" s="50">
        <f t="shared" si="0"/>
        <v>19</v>
      </c>
      <c r="L12" s="50">
        <f t="shared" si="0"/>
        <v>19</v>
      </c>
      <c r="M12" s="41">
        <f>_xlfn.MINIFS(OTP!$J$4:$J$39,OTP!$C$4:$C$39,$A12)</f>
        <v>14</v>
      </c>
      <c r="N12" s="41">
        <f>_xlfn.MAXIFS(OTP!$K$4:$K$39,OTP!$C$4:$C$39,$A12)</f>
        <v>15</v>
      </c>
      <c r="O12" s="31" t="s">
        <v>290</v>
      </c>
      <c r="P12" s="41" t="str">
        <f>OTP!A12&amp;" "&amp;LEFT(OTP!B12,42)</f>
        <v>T1.5 Orchestration de conteneurs avec Kubernete</v>
      </c>
      <c r="Q12" s="41">
        <f>OTP!J12</f>
        <v>7</v>
      </c>
      <c r="R12" s="41">
        <f>OTP!K12</f>
        <v>13</v>
      </c>
      <c r="S12" s="11">
        <f t="shared" si="2"/>
        <v>7</v>
      </c>
      <c r="T12" s="11">
        <f>IF(OTP!C12="Lot 0",R12-Q12+1,0)</f>
        <v>0</v>
      </c>
      <c r="U12" s="11">
        <f>IF(AND(OTP!C12&lt;&gt;"Lot 0",INDEX($O$4:$O$12,MATCH(OTP!C12,$A$4:$A$12,0))&lt;&gt;"Oui"),R12-Q12+1,0)</f>
        <v>0</v>
      </c>
      <c r="V12" s="11">
        <f>IF(AND(OTP!C12&lt;&gt;"Lot 0",INDEX($O$4:$O$12,MATCH(OTP!C12,$A$4:$A$12,0))="Oui"),R12-Q12+1,0)</f>
        <v>7</v>
      </c>
    </row>
    <row r="13" spans="1:22">
      <c r="A13" s="15" t="s">
        <v>292</v>
      </c>
      <c r="B13" s="17">
        <f>SUM(B4:B12)</f>
        <v>346</v>
      </c>
      <c r="C13" s="35">
        <f>SUM(C4:C12)</f>
        <v>15.375</v>
      </c>
      <c r="D13" s="35">
        <f>SUM(D4:D12)</f>
        <v>15.375</v>
      </c>
      <c r="E13" s="35">
        <f>SUM(E4:E12)</f>
        <v>29.375</v>
      </c>
      <c r="F13" s="35">
        <f>SUM(F4:F12)</f>
        <v>29.375</v>
      </c>
      <c r="G13" s="35">
        <f>SUM(G4:G12)</f>
        <v>58.875</v>
      </c>
      <c r="H13" s="35">
        <f>SUM(H4:H12)</f>
        <v>58.875</v>
      </c>
      <c r="I13" s="35">
        <f>SUM(I4:I12)</f>
        <v>55.375</v>
      </c>
      <c r="J13" s="35">
        <f>SUM(J4:J12)</f>
        <v>31.375</v>
      </c>
      <c r="K13" s="35">
        <f>SUM(K4:K12)</f>
        <v>26</v>
      </c>
      <c r="L13" s="35">
        <f>SUM(L4:L12)</f>
        <v>26</v>
      </c>
      <c r="P13" s="41" t="str">
        <f>OTP!A13&amp;" "&amp;LEFT(OTP!B13,42)</f>
        <v>T1.6 Plan d'adressage IP et segmentation VLAN</v>
      </c>
      <c r="Q13" s="41">
        <f>OTP!J13</f>
        <v>7</v>
      </c>
      <c r="R13" s="41">
        <f>OTP!K13</f>
        <v>7</v>
      </c>
      <c r="S13" s="11">
        <f t="shared" si="1"/>
        <v>7</v>
      </c>
      <c r="T13" s="11">
        <f>IF(OTP!C13="Lot 0",R13-Q13+1,0)</f>
        <v>0</v>
      </c>
      <c r="U13" s="11">
        <f>IF(AND(OTP!C13&lt;&gt;"Lot 0",INDEX($O$4:$O$12,MATCH(OTP!C13,$A$4:$A$12,0))&lt;&gt;"Oui"),R13-Q13+1,0)</f>
        <v>0</v>
      </c>
      <c r="V13" s="11">
        <f>IF(AND(OTP!C13&lt;&gt;"Lot 0",INDEX($O$4:$O$12,MATCH(OTP!C13,$A$4:$A$12,0))="Oui"),R13-Q13+1,0)</f>
        <v>1</v>
      </c>
    </row>
    <row r="14" spans="1:22">
      <c r="A14" s="15" t="s">
        <v>293</v>
      </c>
      <c r="C14" s="36">
        <f>C13</f>
        <v>15.375</v>
      </c>
      <c r="D14" s="36">
        <f t="shared" ref="D14:L14" si="3">C14+D13</f>
        <v>30.75</v>
      </c>
      <c r="E14" s="36">
        <f t="shared" si="3"/>
        <v>60.125</v>
      </c>
      <c r="F14" s="36">
        <f t="shared" si="3"/>
        <v>89.5</v>
      </c>
      <c r="G14" s="36">
        <f t="shared" si="3"/>
        <v>148.375</v>
      </c>
      <c r="H14" s="36">
        <f t="shared" si="3"/>
        <v>207.25</v>
      </c>
      <c r="I14" s="36">
        <f t="shared" si="3"/>
        <v>262.625</v>
      </c>
      <c r="J14" s="36">
        <f t="shared" si="3"/>
        <v>294</v>
      </c>
      <c r="K14" s="36">
        <f t="shared" si="3"/>
        <v>320</v>
      </c>
      <c r="L14" s="36">
        <f t="shared" si="3"/>
        <v>346</v>
      </c>
      <c r="P14" s="41" t="str">
        <f>OTP!A14&amp;" "&amp;LEFT(OTP!B14,42)</f>
        <v>T2.1 Installation du pare-feu pfSense/OPNsense</v>
      </c>
      <c r="Q14" s="41">
        <f>OTP!J14</f>
        <v>8</v>
      </c>
      <c r="R14" s="41">
        <f>OTP!K14</f>
        <v>8</v>
      </c>
      <c r="S14" s="11">
        <f t="shared" si="1"/>
        <v>8</v>
      </c>
      <c r="T14" s="11">
        <f>IF(OTP!C14="Lot 0",R14-Q14+1,0)</f>
        <v>0</v>
      </c>
      <c r="U14" s="11">
        <f>IF(AND(OTP!C14&lt;&gt;"Lot 0",INDEX($O$4:$O$12,MATCH(OTP!C14,$A$4:$A$12,0))&lt;&gt;"Oui"),R14-Q14+1,0)</f>
        <v>0</v>
      </c>
      <c r="V14" s="11">
        <f>IF(AND(OTP!C14&lt;&gt;"Lot 0",INDEX($O$4:$O$12,MATCH(OTP!C14,$A$4:$A$12,0))="Oui"),R14-Q14+1,0)</f>
        <v>1</v>
      </c>
    </row>
    <row r="15" spans="1:22">
      <c r="P15" s="41" t="str">
        <f>OTP!A15&amp;" "&amp;LEFT(OTP!B15,42)</f>
        <v>T2.2 Configuration du VPN avec Tailscale</v>
      </c>
      <c r="Q15" s="41">
        <f>OTP!J15</f>
        <v>8</v>
      </c>
      <c r="R15" s="41">
        <f>OTP!K15</f>
        <v>9</v>
      </c>
      <c r="S15" s="11">
        <f t="shared" si="1"/>
        <v>8</v>
      </c>
      <c r="T15" s="11">
        <f>IF(OTP!C15="Lot 0",R15-Q15+1,0)</f>
        <v>0</v>
      </c>
      <c r="U15" s="11">
        <f>IF(AND(OTP!C15&lt;&gt;"Lot 0",INDEX($O$4:$O$12,MATCH(OTP!C15,$A$4:$A$12,0))&lt;&gt;"Oui"),R15-Q15+1,0)</f>
        <v>0</v>
      </c>
      <c r="V15" s="11">
        <f>IF(AND(OTP!C15&lt;&gt;"Lot 0",INDEX($O$4:$O$12,MATCH(OTP!C15,$A$4:$A$12,0))="Oui"),R15-Q15+1,0)</f>
        <v>2</v>
      </c>
    </row>
    <row r="16" spans="1:22">
      <c r="P16" s="41" t="str">
        <f>OTP!A16&amp;" "&amp;LEFT(OTP!B16,42)</f>
        <v>T2.3 Règles de pare-feu et segmentation</v>
      </c>
      <c r="Q16" s="41">
        <f>OTP!J16</f>
        <v>9</v>
      </c>
      <c r="R16" s="41">
        <f>OTP!K16</f>
        <v>9</v>
      </c>
      <c r="S16" s="11">
        <f t="shared" si="1"/>
        <v>9</v>
      </c>
      <c r="T16" s="11">
        <f>IF(OTP!C16="Lot 0",R16-Q16+1,0)</f>
        <v>0</v>
      </c>
      <c r="U16" s="11">
        <f>IF(AND(OTP!C16&lt;&gt;"Lot 0",INDEX($O$4:$O$12,MATCH(OTP!C16,$A$4:$A$12,0))&lt;&gt;"Oui"),R16-Q16+1,0)</f>
        <v>0</v>
      </c>
      <c r="V16" s="11">
        <f>IF(AND(OTP!C16&lt;&gt;"Lot 0",INDEX($O$4:$O$12,MATCH(OTP!C16,$A$4:$A$12,0))="Oui"),R16-Q16+1,0)</f>
        <v>1</v>
      </c>
    </row>
    <row r="17" spans="16:22">
      <c r="P17" s="41" t="str">
        <f>OTP!A17&amp;" "&amp;LEFT(OTP!B17,42)</f>
        <v>T2.4 Reverse proxy et HTTPS avec Caddy</v>
      </c>
      <c r="Q17" s="41">
        <f>OTP!J17</f>
        <v>9</v>
      </c>
      <c r="R17" s="41">
        <f>OTP!K17</f>
        <v>9</v>
      </c>
      <c r="S17" s="11">
        <f t="shared" si="1"/>
        <v>9</v>
      </c>
      <c r="T17" s="11">
        <f>IF(OTP!C17="Lot 0",R17-Q17+1,0)</f>
        <v>0</v>
      </c>
      <c r="U17" s="11">
        <f>IF(AND(OTP!C17&lt;&gt;"Lot 0",INDEX($O$4:$O$12,MATCH(OTP!C17,$A$4:$A$12,0))&lt;&gt;"Oui"),R17-Q17+1,0)</f>
        <v>0</v>
      </c>
      <c r="V17" s="11">
        <f>IF(AND(OTP!C17&lt;&gt;"Lot 0",INDEX($O$4:$O$12,MATCH(OTP!C17,$A$4:$A$12,0))="Oui"),R17-Q17+1,0)</f>
        <v>1</v>
      </c>
    </row>
    <row r="18" spans="16:22">
      <c r="P18" s="41" t="str">
        <f>OTP!A18&amp;" "&amp;LEFT(OTP!B18,42)</f>
        <v>T3.1 Service VoIP avec Asterisk</v>
      </c>
      <c r="Q18" s="41">
        <f>OTP!J18</f>
        <v>10</v>
      </c>
      <c r="R18" s="41">
        <f>OTP!K18</f>
        <v>11</v>
      </c>
      <c r="S18" s="11">
        <f t="shared" si="1"/>
        <v>10</v>
      </c>
      <c r="T18" s="11">
        <f>IF(OTP!C18="Lot 0",R18-Q18+1,0)</f>
        <v>0</v>
      </c>
      <c r="U18" s="11">
        <f>IF(AND(OTP!C18&lt;&gt;"Lot 0",INDEX($O$4:$O$12,MATCH(OTP!C18,$A$4:$A$12,0))&lt;&gt;"Oui"),R18-Q18+1,0)</f>
        <v>0</v>
      </c>
      <c r="V18" s="11">
        <f>IF(AND(OTP!C18&lt;&gt;"Lot 0",INDEX($O$4:$O$12,MATCH(OTP!C18,$A$4:$A$12,0))="Oui"),R18-Q18+1,0)</f>
        <v>2</v>
      </c>
    </row>
    <row r="19" spans="16:22">
      <c r="P19" s="41" t="str">
        <f>OTP!A19&amp;" "&amp;LEFT(OTP!B19,42)</f>
        <v>T3.2 Serveur de développement web (Apache, Mari</v>
      </c>
      <c r="Q19" s="41">
        <f>OTP!J19</f>
        <v>10</v>
      </c>
      <c r="R19" s="41">
        <f>OTP!K19</f>
        <v>11</v>
      </c>
      <c r="S19" s="11">
        <f t="shared" si="1"/>
        <v>10</v>
      </c>
      <c r="T19" s="11">
        <f>IF(OTP!C19="Lot 0",R19-Q19+1,0)</f>
        <v>0</v>
      </c>
      <c r="U19" s="11">
        <f>IF(AND(OTP!C19&lt;&gt;"Lot 0",INDEX($O$4:$O$12,MATCH(OTP!C19,$A$4:$A$12,0))&lt;&gt;"Oui"),R19-Q19+1,0)</f>
        <v>0</v>
      </c>
      <c r="V19" s="11">
        <f>IF(AND(OTP!C19&lt;&gt;"Lot 0",INDEX($O$4:$O$12,MATCH(OTP!C19,$A$4:$A$12,0))="Oui"),R19-Q19+1,0)</f>
        <v>2</v>
      </c>
    </row>
    <row r="20" spans="16:22">
      <c r="P20" s="41" t="str">
        <f>OTP!A20&amp;" "&amp;LEFT(OTP!B20,42)</f>
        <v>T3.3 Supervision des ressources avec Netdata</v>
      </c>
      <c r="Q20" s="41">
        <f>OTP!J20</f>
        <v>11</v>
      </c>
      <c r="R20" s="41">
        <f>OTP!K20</f>
        <v>11</v>
      </c>
      <c r="S20" s="11">
        <f t="shared" si="1"/>
        <v>11</v>
      </c>
      <c r="T20" s="11">
        <f>IF(OTP!C20="Lot 0",R20-Q20+1,0)</f>
        <v>0</v>
      </c>
      <c r="U20" s="11">
        <f>IF(AND(OTP!C20&lt;&gt;"Lot 0",INDEX($O$4:$O$12,MATCH(OTP!C20,$A$4:$A$12,0))&lt;&gt;"Oui"),R20-Q20+1,0)</f>
        <v>0</v>
      </c>
      <c r="V20" s="11">
        <f>IF(AND(OTP!C20&lt;&gt;"Lot 0",INDEX($O$4:$O$12,MATCH(OTP!C20,$A$4:$A$12,0))="Oui"),R20-Q20+1,0)</f>
        <v>1</v>
      </c>
    </row>
    <row r="21" spans="16:22">
      <c r="P21" s="41" t="str">
        <f>OTP!A21&amp;" "&amp;LEFT(OTP!B21,42)</f>
        <v>T4.1 Déploiement d'Active Directory Domain Serv</v>
      </c>
      <c r="Q21" s="41">
        <f>OTP!J21</f>
        <v>10</v>
      </c>
      <c r="R21" s="41">
        <f>OTP!K21</f>
        <v>10</v>
      </c>
      <c r="S21" s="11">
        <f t="shared" si="1"/>
        <v>10</v>
      </c>
      <c r="T21" s="11">
        <f>IF(OTP!C21="Lot 0",R21-Q21+1,0)</f>
        <v>0</v>
      </c>
      <c r="U21" s="11">
        <f>IF(AND(OTP!C21&lt;&gt;"Lot 0",INDEX($O$4:$O$12,MATCH(OTP!C21,$A$4:$A$12,0))&lt;&gt;"Oui"),R21-Q21+1,0)</f>
        <v>0</v>
      </c>
      <c r="V21" s="11">
        <f>IF(AND(OTP!C21&lt;&gt;"Lot 0",INDEX($O$4:$O$12,MATCH(OTP!C21,$A$4:$A$12,0))="Oui"),R21-Q21+1,0)</f>
        <v>1</v>
      </c>
    </row>
    <row r="22" spans="16:22">
      <c r="P22" s="41" t="str">
        <f>OTP!A22&amp;" "&amp;LEFT(OTP!B22,42)</f>
        <v>T4.2 Serveur de courriel avec hMailServer</v>
      </c>
      <c r="Q22" s="41">
        <f>OTP!J22</f>
        <v>10</v>
      </c>
      <c r="R22" s="41">
        <f>OTP!K22</f>
        <v>11</v>
      </c>
      <c r="S22" s="11">
        <f t="shared" si="1"/>
        <v>10</v>
      </c>
      <c r="T22" s="11">
        <f>IF(OTP!C22="Lot 0",R22-Q22+1,0)</f>
        <v>0</v>
      </c>
      <c r="U22" s="11">
        <f>IF(AND(OTP!C22&lt;&gt;"Lot 0",INDEX($O$4:$O$12,MATCH(OTP!C22,$A$4:$A$12,0))&lt;&gt;"Oui"),R22-Q22+1,0)</f>
        <v>0</v>
      </c>
      <c r="V22" s="11">
        <f>IF(AND(OTP!C22&lt;&gt;"Lot 0",INDEX($O$4:$O$12,MATCH(OTP!C22,$A$4:$A$12,0))="Oui"),R22-Q22+1,0)</f>
        <v>2</v>
      </c>
    </row>
    <row r="23" spans="16:22">
      <c r="P23" s="41" t="str">
        <f>OTP!A23&amp;" "&amp;LEFT(OTP!B23,42)</f>
        <v>T4.3 Gestion des tickets avec osTicket</v>
      </c>
      <c r="Q23" s="41">
        <f>OTP!J23</f>
        <v>10</v>
      </c>
      <c r="R23" s="41">
        <f>OTP!K23</f>
        <v>11</v>
      </c>
      <c r="S23" s="11">
        <f t="shared" si="1"/>
        <v>10</v>
      </c>
      <c r="T23" s="11">
        <f>IF(OTP!C23="Lot 0",R23-Q23+1,0)</f>
        <v>0</v>
      </c>
      <c r="U23" s="11">
        <f>IF(AND(OTP!C23&lt;&gt;"Lot 0",INDEX($O$4:$O$12,MATCH(OTP!C23,$A$4:$A$12,0))&lt;&gt;"Oui"),R23-Q23+1,0)</f>
        <v>0</v>
      </c>
      <c r="V23" s="11">
        <f>IF(AND(OTP!C23&lt;&gt;"Lot 0",INDEX($O$4:$O$12,MATCH(OTP!C23,$A$4:$A$12,0))="Oui"),R23-Q23+1,0)</f>
        <v>2</v>
      </c>
    </row>
    <row r="24" spans="16:22">
      <c r="P24" s="41" t="str">
        <f>OTP!A24&amp;" "&amp;LEFT(OTP!B24,42)</f>
        <v>T4.4 Sauvegardes avec Veeam Backup &amp; Replicatio</v>
      </c>
      <c r="Q24" s="41">
        <f>OTP!J24</f>
        <v>11</v>
      </c>
      <c r="R24" s="41">
        <f>OTP!K24</f>
        <v>11</v>
      </c>
      <c r="S24" s="11">
        <f t="shared" si="1"/>
        <v>11</v>
      </c>
      <c r="T24" s="11">
        <f>IF(OTP!C24="Lot 0",R24-Q24+1,0)</f>
        <v>0</v>
      </c>
      <c r="U24" s="11">
        <f>IF(AND(OTP!C24&lt;&gt;"Lot 0",INDEX($O$4:$O$12,MATCH(OTP!C24,$A$4:$A$12,0))&lt;&gt;"Oui"),R24-Q24+1,0)</f>
        <v>0</v>
      </c>
      <c r="V24" s="11">
        <f>IF(AND(OTP!C24&lt;&gt;"Lot 0",INDEX($O$4:$O$12,MATCH(OTP!C24,$A$4:$A$12,0))="Oui"),R24-Q24+1,0)</f>
        <v>1</v>
      </c>
    </row>
    <row r="25" spans="16:22">
      <c r="P25" s="41" t="str">
        <f>OTP!A25&amp;" "&amp;LEFT(OTP!B25,42)</f>
        <v>T4.5 Déploiement de Microsoft Defender for Endp</v>
      </c>
      <c r="Q25" s="41">
        <f>OTP!J25</f>
        <v>10</v>
      </c>
      <c r="R25" s="41">
        <f>OTP!K25</f>
        <v>11</v>
      </c>
      <c r="S25" s="11">
        <f t="shared" si="1"/>
        <v>10</v>
      </c>
      <c r="T25" s="11">
        <f>IF(OTP!C25="Lot 0",R25-Q25+1,0)</f>
        <v>0</v>
      </c>
      <c r="U25" s="11">
        <f>IF(AND(OTP!C25&lt;&gt;"Lot 0",INDEX($O$4:$O$12,MATCH(OTP!C25,$A$4:$A$12,0))&lt;&gt;"Oui"),R25-Q25+1,0)</f>
        <v>0</v>
      </c>
      <c r="V25" s="11">
        <f>IF(AND(OTP!C25&lt;&gt;"Lot 0",INDEX($O$4:$O$12,MATCH(OTP!C25,$A$4:$A$12,0))="Oui"),R25-Q25+1,0)</f>
        <v>2</v>
      </c>
    </row>
    <row r="26" spans="16:22">
      <c r="P26" s="41" t="str">
        <f>OTP!A26&amp;" "&amp;LEFT(OTP!B26,42)</f>
        <v>T5.1 Script d'automatisation individuel</v>
      </c>
      <c r="Q26" s="41">
        <f>OTP!J26</f>
        <v>12</v>
      </c>
      <c r="R26" s="41">
        <f>OTP!K26</f>
        <v>12</v>
      </c>
      <c r="S26" s="11">
        <f t="shared" si="1"/>
        <v>12</v>
      </c>
      <c r="T26" s="11">
        <f>IF(OTP!C26="Lot 0",R26-Q26+1,0)</f>
        <v>0</v>
      </c>
      <c r="U26" s="11">
        <f>IF(AND(OTP!C26&lt;&gt;"Lot 0",INDEX($O$4:$O$12,MATCH(OTP!C26,$A$4:$A$12,0))&lt;&gt;"Oui"),R26-Q26+1,0)</f>
        <v>1</v>
      </c>
      <c r="V26" s="11">
        <f>IF(AND(OTP!C26&lt;&gt;"Lot 0",INDEX($O$4:$O$12,MATCH(OTP!C26,$A$4:$A$12,0))="Oui"),R26-Q26+1,0)</f>
        <v>0</v>
      </c>
    </row>
    <row r="27" spans="16:22">
      <c r="P27" s="41" t="str">
        <f>OTP!A27&amp;" "&amp;LEFT(OTP!B27,42)</f>
        <v>T5.2 Script d'automatisation individuel</v>
      </c>
      <c r="Q27" s="41">
        <f>OTP!J27</f>
        <v>12</v>
      </c>
      <c r="R27" s="41">
        <f>OTP!K27</f>
        <v>12</v>
      </c>
      <c r="S27" s="11">
        <f t="shared" si="1"/>
        <v>12</v>
      </c>
      <c r="T27" s="11">
        <f>IF(OTP!C27="Lot 0",R27-Q27+1,0)</f>
        <v>0</v>
      </c>
      <c r="U27" s="11">
        <f>IF(AND(OTP!C27&lt;&gt;"Lot 0",INDEX($O$4:$O$12,MATCH(OTP!C27,$A$4:$A$12,0))&lt;&gt;"Oui"),R27-Q27+1,0)</f>
        <v>1</v>
      </c>
      <c r="V27" s="11">
        <f>IF(AND(OTP!C27&lt;&gt;"Lot 0",INDEX($O$4:$O$12,MATCH(OTP!C27,$A$4:$A$12,0))="Oui"),R27-Q27+1,0)</f>
        <v>0</v>
      </c>
    </row>
    <row r="28" spans="16:22">
      <c r="P28" s="41" t="str">
        <f>OTP!A28&amp;" "&amp;LEFT(OTP!B28,42)</f>
        <v>T5.3 Script d'automatisation individuel</v>
      </c>
      <c r="Q28" s="41">
        <f>OTP!J28</f>
        <v>12</v>
      </c>
      <c r="R28" s="41">
        <f>OTP!K28</f>
        <v>12</v>
      </c>
      <c r="S28" s="11">
        <f t="shared" si="1"/>
        <v>12</v>
      </c>
      <c r="T28" s="11">
        <f>IF(OTP!C28="Lot 0",R28-Q28+1,0)</f>
        <v>0</v>
      </c>
      <c r="U28" s="11">
        <f>IF(AND(OTP!C28&lt;&gt;"Lot 0",INDEX($O$4:$O$12,MATCH(OTP!C28,$A$4:$A$12,0))&lt;&gt;"Oui"),R28-Q28+1,0)</f>
        <v>1</v>
      </c>
      <c r="V28" s="11">
        <f>IF(AND(OTP!C28&lt;&gt;"Lot 0",INDEX($O$4:$O$12,MATCH(OTP!C28,$A$4:$A$12,0))="Oui"),R28-Q28+1,0)</f>
        <v>0</v>
      </c>
    </row>
    <row r="29" spans="16:22">
      <c r="P29" s="41" t="str">
        <f>OTP!A29&amp;" "&amp;LEFT(OTP!B29,42)</f>
        <v>T5.4 Script d'automatisation individuel</v>
      </c>
      <c r="Q29" s="41">
        <f>OTP!J29</f>
        <v>12</v>
      </c>
      <c r="R29" s="41">
        <f>OTP!K29</f>
        <v>12</v>
      </c>
      <c r="S29" s="11">
        <f t="shared" si="1"/>
        <v>12</v>
      </c>
      <c r="T29" s="11">
        <f>IF(OTP!C29="Lot 0",R29-Q29+1,0)</f>
        <v>0</v>
      </c>
      <c r="U29" s="11">
        <f>IF(AND(OTP!C29&lt;&gt;"Lot 0",INDEX($O$4:$O$12,MATCH(OTP!C29,$A$4:$A$12,0))&lt;&gt;"Oui"),R29-Q29+1,0)</f>
        <v>1</v>
      </c>
      <c r="V29" s="11">
        <f>IF(AND(OTP!C29&lt;&gt;"Lot 0",INDEX($O$4:$O$12,MATCH(OTP!C29,$A$4:$A$12,0))="Oui"),R29-Q29+1,0)</f>
        <v>0</v>
      </c>
    </row>
    <row r="30" spans="16:22">
      <c r="P30" s="41" t="str">
        <f>OTP!A30&amp;" "&amp;LEFT(OTP!B30,42)</f>
        <v>T6.1 Installation du courtier MQTT avec Mosquit</v>
      </c>
      <c r="Q30" s="41">
        <f>OTP!J30</f>
        <v>10</v>
      </c>
      <c r="R30" s="41">
        <f>OTP!K30</f>
        <v>10</v>
      </c>
      <c r="S30" s="11">
        <f t="shared" si="1"/>
        <v>10</v>
      </c>
      <c r="T30" s="11">
        <f>IF(OTP!C30="Lot 0",R30-Q30+1,0)</f>
        <v>0</v>
      </c>
      <c r="U30" s="11">
        <f>IF(AND(OTP!C30&lt;&gt;"Lot 0",INDEX($O$4:$O$12,MATCH(OTP!C30,$A$4:$A$12,0))&lt;&gt;"Oui"),R30-Q30+1,0)</f>
        <v>1</v>
      </c>
      <c r="V30" s="11">
        <f>IF(AND(OTP!C30&lt;&gt;"Lot 0",INDEX($O$4:$O$12,MATCH(OTP!C30,$A$4:$A$12,0))="Oui"),R30-Q30+1,0)</f>
        <v>0</v>
      </c>
    </row>
    <row r="31" spans="16:22">
      <c r="P31" s="41" t="str">
        <f>OTP!A31&amp;" "&amp;LEFT(OTP!B31,42)</f>
        <v>T6.2 Intégration des modules ESP32 (individuel)</v>
      </c>
      <c r="Q31" s="41">
        <f>OTP!J31</f>
        <v>10</v>
      </c>
      <c r="R31" s="41">
        <f>OTP!K31</f>
        <v>11</v>
      </c>
      <c r="S31" s="11">
        <f t="shared" si="1"/>
        <v>10</v>
      </c>
      <c r="T31" s="11">
        <f>IF(OTP!C31="Lot 0",R31-Q31+1,0)</f>
        <v>0</v>
      </c>
      <c r="U31" s="11">
        <f>IF(AND(OTP!C31&lt;&gt;"Lot 0",INDEX($O$4:$O$12,MATCH(OTP!C31,$A$4:$A$12,0))&lt;&gt;"Oui"),R31-Q31+1,0)</f>
        <v>2</v>
      </c>
      <c r="V31" s="11">
        <f>IF(AND(OTP!C31&lt;&gt;"Lot 0",INDEX($O$4:$O$12,MATCH(OTP!C31,$A$4:$A$12,0))="Oui"),R31-Q31+1,0)</f>
        <v>0</v>
      </c>
    </row>
    <row r="32" spans="16:22">
      <c r="P32" s="41" t="str">
        <f>OTP!A32&amp;" "&amp;LEFT(OTP!B32,42)</f>
        <v>T7.1 Diffusion multimédia avec Jellyfin</v>
      </c>
      <c r="Q32" s="41">
        <f>OTP!J32</f>
        <v>12</v>
      </c>
      <c r="R32" s="41">
        <f>OTP!K32</f>
        <v>13</v>
      </c>
      <c r="S32" s="11">
        <f t="shared" si="1"/>
        <v>12</v>
      </c>
      <c r="T32" s="11">
        <f>IF(OTP!C32="Lot 0",R32-Q32+1,0)</f>
        <v>0</v>
      </c>
      <c r="U32" s="11">
        <f>IF(AND(OTP!C32&lt;&gt;"Lot 0",INDEX($O$4:$O$12,MATCH(OTP!C32,$A$4:$A$12,0))&lt;&gt;"Oui"),R32-Q32+1,0)</f>
        <v>0</v>
      </c>
      <c r="V32" s="11">
        <f>IF(AND(OTP!C32&lt;&gt;"Lot 0",INDEX($O$4:$O$12,MATCH(OTP!C32,$A$4:$A$12,0))="Oui"),R32-Q32+1,0)</f>
        <v>2</v>
      </c>
    </row>
    <row r="33" spans="16:22">
      <c r="P33" s="41" t="str">
        <f>OTP!A33&amp;" "&amp;LEFT(OTP!B33,42)</f>
        <v>T7.2 Suite *arr et téléchargement (Radarr, Sona</v>
      </c>
      <c r="Q33" s="41">
        <f>OTP!J33</f>
        <v>13</v>
      </c>
      <c r="R33" s="41">
        <f>OTP!K33</f>
        <v>13</v>
      </c>
      <c r="S33" s="11">
        <f t="shared" si="1"/>
        <v>13</v>
      </c>
      <c r="T33" s="11">
        <f>IF(OTP!C33="Lot 0",R33-Q33+1,0)</f>
        <v>0</v>
      </c>
      <c r="U33" s="11">
        <f>IF(AND(OTP!C33&lt;&gt;"Lot 0",INDEX($O$4:$O$12,MATCH(OTP!C33,$A$4:$A$12,0))&lt;&gt;"Oui"),R33-Q33+1,0)</f>
        <v>0</v>
      </c>
      <c r="V33" s="11">
        <f>IF(AND(OTP!C33&lt;&gt;"Lot 0",INDEX($O$4:$O$12,MATCH(OTP!C33,$A$4:$A$12,0))="Oui"),R33-Q33+1,0)</f>
        <v>1</v>
      </c>
    </row>
    <row r="34" spans="16:22">
      <c r="P34" s="41" t="str">
        <f>OTP!A34&amp;" "&amp;LEFT(OTP!B34,42)</f>
        <v>T7.3 Tableau de bord avec Homarr</v>
      </c>
      <c r="Q34" s="41">
        <f>OTP!J34</f>
        <v>12</v>
      </c>
      <c r="R34" s="41">
        <f>OTP!K34</f>
        <v>13</v>
      </c>
      <c r="S34" s="11">
        <f t="shared" si="1"/>
        <v>12</v>
      </c>
      <c r="T34" s="11">
        <f>IF(OTP!C34="Lot 0",R34-Q34+1,0)</f>
        <v>0</v>
      </c>
      <c r="U34" s="11">
        <f>IF(AND(OTP!C34&lt;&gt;"Lot 0",INDEX($O$4:$O$12,MATCH(OTP!C34,$A$4:$A$12,0))&lt;&gt;"Oui"),R34-Q34+1,0)</f>
        <v>0</v>
      </c>
      <c r="V34" s="11">
        <f>IF(AND(OTP!C34&lt;&gt;"Lot 0",INDEX($O$4:$O$12,MATCH(OTP!C34,$A$4:$A$12,0))="Oui"),R34-Q34+1,0)</f>
        <v>2</v>
      </c>
    </row>
    <row r="35" spans="16:22">
      <c r="P35" s="41" t="str">
        <f>OTP!A35&amp;" "&amp;LEFT(OTP!B35,42)</f>
        <v>T7.4 Panneau de serveurs de jeux avec AMP</v>
      </c>
      <c r="Q35" s="41">
        <f>OTP!J35</f>
        <v>12</v>
      </c>
      <c r="R35" s="41">
        <f>OTP!K35</f>
        <v>13</v>
      </c>
      <c r="S35" s="11">
        <f t="shared" si="1"/>
        <v>12</v>
      </c>
      <c r="T35" s="11">
        <f>IF(OTP!C35="Lot 0",R35-Q35+1,0)</f>
        <v>0</v>
      </c>
      <c r="U35" s="11">
        <f>IF(AND(OTP!C35&lt;&gt;"Lot 0",INDEX($O$4:$O$12,MATCH(OTP!C35,$A$4:$A$12,0))&lt;&gt;"Oui"),R35-Q35+1,0)</f>
        <v>0</v>
      </c>
      <c r="V35" s="11">
        <f>IF(AND(OTP!C35&lt;&gt;"Lot 0",INDEX($O$4:$O$12,MATCH(OTP!C35,$A$4:$A$12,0))="Oui"),R35-Q35+1,0)</f>
        <v>2</v>
      </c>
    </row>
    <row r="36" spans="16:22">
      <c r="P36" s="41" t="str">
        <f>OTP!A36&amp;" "&amp;LEFT(OTP!B36,42)</f>
        <v>T8.1 Tests d'intégration des services</v>
      </c>
      <c r="Q36" s="41">
        <f>OTP!J36</f>
        <v>14</v>
      </c>
      <c r="R36" s="41">
        <f>OTP!K36</f>
        <v>14</v>
      </c>
      <c r="S36" s="11">
        <f t="shared" si="1"/>
        <v>14</v>
      </c>
      <c r="T36" s="11">
        <f>IF(OTP!C36="Lot 0",R36-Q36+1,0)</f>
        <v>0</v>
      </c>
      <c r="U36" s="11">
        <f>IF(AND(OTP!C36&lt;&gt;"Lot 0",INDEX($O$4:$O$12,MATCH(OTP!C36,$A$4:$A$12,0))&lt;&gt;"Oui"),R36-Q36+1,0)</f>
        <v>0</v>
      </c>
      <c r="V36" s="11">
        <f>IF(AND(OTP!C36&lt;&gt;"Lot 0",INDEX($O$4:$O$12,MATCH(OTP!C36,$A$4:$A$12,0))="Oui"),R36-Q36+1,0)</f>
        <v>1</v>
      </c>
    </row>
    <row r="37" spans="16:22">
      <c r="P37" s="41" t="str">
        <f>OTP!A37&amp;" "&amp;LEFT(OTP!B37,42)</f>
        <v>T8.2 Rédaction de la documentation technique</v>
      </c>
      <c r="Q37" s="41">
        <f>OTP!J37</f>
        <v>14</v>
      </c>
      <c r="R37" s="41">
        <f>OTP!K37</f>
        <v>15</v>
      </c>
      <c r="S37" s="11">
        <f t="shared" si="1"/>
        <v>14</v>
      </c>
      <c r="T37" s="11">
        <f>IF(OTP!C37="Lot 0",R37-Q37+1,0)</f>
        <v>0</v>
      </c>
      <c r="U37" s="11">
        <f>IF(AND(OTP!C37&lt;&gt;"Lot 0",INDEX($O$4:$O$12,MATCH(OTP!C37,$A$4:$A$12,0))&lt;&gt;"Oui"),R37-Q37+1,0)</f>
        <v>0</v>
      </c>
      <c r="V37" s="11">
        <f>IF(AND(OTP!C37&lt;&gt;"Lot 0",INDEX($O$4:$O$12,MATCH(OTP!C37,$A$4:$A$12,0))="Oui"),R37-Q37+1,0)</f>
        <v>2</v>
      </c>
    </row>
    <row r="38" spans="16:22">
      <c r="P38" s="41" t="str">
        <f>OTP!A38&amp;" "&amp;LEFT(OTP!B38,42)</f>
        <v>T8.3 Démonstrations d'état d'avancement</v>
      </c>
      <c r="Q38" s="41">
        <f>OTP!J38</f>
        <v>14</v>
      </c>
      <c r="R38" s="41">
        <f>OTP!K38</f>
        <v>15</v>
      </c>
      <c r="S38" s="11">
        <f t="shared" si="1"/>
        <v>14</v>
      </c>
      <c r="T38" s="11">
        <f>IF(OTP!C38="Lot 0",R38-Q38+1,0)</f>
        <v>0</v>
      </c>
      <c r="U38" s="11">
        <f>IF(AND(OTP!C38&lt;&gt;"Lot 0",INDEX($O$4:$O$12,MATCH(OTP!C38,$A$4:$A$12,0))&lt;&gt;"Oui"),R38-Q38+1,0)</f>
        <v>0</v>
      </c>
      <c r="V38" s="11">
        <f>IF(AND(OTP!C38&lt;&gt;"Lot 0",INDEX($O$4:$O$12,MATCH(OTP!C38,$A$4:$A$12,0))="Oui"),R38-Q38+1,0)</f>
        <v>2</v>
      </c>
    </row>
    <row r="39" spans="16:22">
      <c r="P39" s="41" t="str">
        <f>OTP!A39&amp;" "&amp;LEFT(OTP!B39,42)</f>
        <v>T8.4 Préparation de la présentation finale</v>
      </c>
      <c r="Q39" s="41">
        <f>OTP!J39</f>
        <v>15</v>
      </c>
      <c r="R39" s="41">
        <f>OTP!K39</f>
        <v>15</v>
      </c>
      <c r="S39" s="11">
        <f t="shared" si="1"/>
        <v>15</v>
      </c>
      <c r="T39" s="11">
        <f>IF(OTP!C39="Lot 0",R39-Q39+1,0)</f>
        <v>0</v>
      </c>
      <c r="U39" s="11">
        <f>IF(AND(OTP!C39&lt;&gt;"Lot 0",INDEX($O$4:$O$12,MATCH(OTP!C39,$A$4:$A$12,0))&lt;&gt;"Oui"),R39-Q39+1,0)</f>
        <v>0</v>
      </c>
      <c r="V39" s="11">
        <f>IF(AND(OTP!C39&lt;&gt;"Lot 0",INDEX($O$4:$O$12,MATCH(OTP!C39,$A$4:$A$12,0))="Oui"),R39-Q39+1,0)</f>
        <v>1</v>
      </c>
    </row>
  </sheetData>
  <pageMargins left="0.4" right="0.4" top="0.5" bottom="0.5" header="0.511811023622047" footer="0.511811023622047"/>
  <pageSetup fitToHeight="0" orientation="landscape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179C3180EA14F85BF6AEF883B1D95" ma:contentTypeVersion="3" ma:contentTypeDescription="Crée un document." ma:contentTypeScope="" ma:versionID="29271495e64bd6c585130f26710b851c">
  <xsd:schema xmlns:xsd="http://www.w3.org/2001/XMLSchema" xmlns:xs="http://www.w3.org/2001/XMLSchema" xmlns:p="http://schemas.microsoft.com/office/2006/metadata/properties" xmlns:ns2="a92a7406-4350-4522-89dd-ec3b28c45c47" targetNamespace="http://schemas.microsoft.com/office/2006/metadata/properties" ma:root="true" ma:fieldsID="b6d7cca0dd663c04b0b4d51d733e82ac" ns2:_="">
    <xsd:import namespace="a92a7406-4350-4522-89dd-ec3b28c45c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a7406-4350-4522-89dd-ec3b28c45c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D51E5F-209A-4CA3-9484-CFF0610AF4A0}"/>
</file>

<file path=customXml/itemProps2.xml><?xml version="1.0" encoding="utf-8"?>
<ds:datastoreItem xmlns:ds="http://schemas.openxmlformats.org/officeDocument/2006/customXml" ds:itemID="{C7D5899A-E6EF-4AD9-8BDD-C15794EF1C50}"/>
</file>

<file path=customXml/itemProps3.xml><?xml version="1.0" encoding="utf-8"?>
<ds:datastoreItem xmlns:ds="http://schemas.openxmlformats.org/officeDocument/2006/customXml" ds:itemID="{DF3B59A2-D675-42FC-916A-C6AE0F474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2026-09-16T12:53:19Z</dcterms:created>
  <dcterms:modified xsi:type="dcterms:W3CDTF">2026-09-25T01:20:09Z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0x010100D7A179C3180EA14F85BF6AEF883B1D95</vt:lpwstr>
  </property>
</Properties>
</file>